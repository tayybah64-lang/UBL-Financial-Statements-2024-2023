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8000"/>
  </bookViews>
  <sheets>
    <sheet name="Dashboard " sheetId="10" r:id="rId1"/>
    <sheet name="Statement of Financial Position" sheetId="8" r:id="rId2"/>
    <sheet name="Profit and Loss Statement" sheetId="2" r:id="rId3"/>
    <sheet name=" Comprehensive Income" sheetId="6" r:id="rId4"/>
    <sheet name="Statement of Changes in Equity" sheetId="5" r:id="rId5"/>
    <sheet name="Cash Flow Statement" sheetId="3" r:id="rId6"/>
    <sheet name="Working Capital Statement" sheetId="9" r:id="rId7"/>
    <sheet name="Notes to  Financial Statement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<sst xmlns="http://schemas.openxmlformats.org/spreadsheetml/2006/main" count="714" uniqueCount="520">
  <si>
    <t>Prepared by : Tayybah Imran</t>
  </si>
  <si>
    <t>Date: 01-04-2026</t>
  </si>
  <si>
    <t>Disclaimer: “Educational reconstruction based on publicly available UBL Annual Report 2024. Not official financial advice.”</t>
  </si>
  <si>
    <t>UBL Financial Statements 2024 vs 2023 – Summary Dashboard</t>
  </si>
  <si>
    <t>2024 vs 2023 | All figures in PKR '000</t>
  </si>
  <si>
    <t>Key Highlights</t>
  </si>
  <si>
    <t>Metrics</t>
  </si>
  <si>
    <t>Growth %</t>
  </si>
  <si>
    <t>Total Assets</t>
  </si>
  <si>
    <t>Net Advances</t>
  </si>
  <si>
    <t>Total Deposits</t>
  </si>
  <si>
    <t>Profit After Taxation</t>
  </si>
  <si>
    <t>Net Mark-up / Interest Income</t>
  </si>
  <si>
    <t>Key Performance Ratios</t>
  </si>
  <si>
    <t>2024 value</t>
  </si>
  <si>
    <t>2023 value</t>
  </si>
  <si>
    <t>Return on Assets (ROA)</t>
  </si>
  <si>
    <t>Return on Equity (ROE)</t>
  </si>
  <si>
    <t>Net Interest Margin (NIM)</t>
  </si>
  <si>
    <t>Cost to Income Ratio</t>
  </si>
  <si>
    <t>Advances to Deposits Ratio (ADR)</t>
  </si>
  <si>
    <t>Earnings Per Share (EPS)</t>
  </si>
  <si>
    <t>*Note:-</t>
  </si>
  <si>
    <t>Ratios calculated on average assets/equity for accuracy.”</t>
  </si>
  <si>
    <t>Charts</t>
  </si>
  <si>
    <t>Asset Composition 2024</t>
  </si>
  <si>
    <t>ASSETS</t>
  </si>
  <si>
    <t>Cash and balances with treasury banks</t>
  </si>
  <si>
    <t>Balances with other banks</t>
  </si>
  <si>
    <t>Lendings to financial institutions</t>
  </si>
  <si>
    <t>Investments</t>
  </si>
  <si>
    <t>Advances</t>
  </si>
  <si>
    <t>Property and Equipment</t>
  </si>
  <si>
    <t>Right-of-use of assets</t>
  </si>
  <si>
    <t>Intangible assets</t>
  </si>
  <si>
    <t>Deferred tax assets</t>
  </si>
  <si>
    <t>Other assets</t>
  </si>
  <si>
    <t>Growth Comparison</t>
  </si>
  <si>
    <t>Profit &amp; Income Breakdown</t>
  </si>
  <si>
    <t>Total Non Mark-up / Interest Income</t>
  </si>
  <si>
    <t>Total Income</t>
  </si>
  <si>
    <t>Operating Expenses</t>
  </si>
  <si>
    <t>Resulting in Profit Before Provisions/Tax</t>
  </si>
  <si>
    <t>Key Observations (2024)</t>
  </si>
  <si>
    <r>
      <t>.</t>
    </r>
    <r>
      <rPr>
        <sz val="22"/>
        <color theme="1"/>
        <rFont val="Calibri"/>
        <charset val="134"/>
        <scheme val="minor"/>
      </rPr>
      <t>Strong Balance Sheet Expansion: Total Assets grew by 36.7% from Rs 5.90 trillion in 2023 to Rs 8.07 trillion in 2024. This growth was primarily driven by a significant increase in Investments (which more than doubled) and a healthy rise in Net Advances (+65.5%).</t>
    </r>
  </si>
  <si>
    <t>Robust Profitability Growth: Profit After Taxation attributable to equity holders increased by 36.3% to Rs 75.16 billion in 2024 (from Rs 55.15 billion in 2023). This reflects successful scaling of core operations and effective cost management despite higher operating expenses.</t>
  </si>
  <si>
    <t>Impressive Income Growth: Total Income surged by 39.0% to Rs 257.24 billion, supported by a 102.7% jump in Mark-up/Return earned (from Rs 535.21 billion to Rs 1,084.64 billion).                            Net Mark-up/Interest Income grew by 16.5%, showing resilience in the core lending and investment book even in a high-interest-rate environment.</t>
  </si>
  <si>
    <t>Solid Equity Position with Room for Growth: Total equity attributable to the Bank’s shareholders rose by 18.4% to Rs 320.76 billion. The bank maintained a strong capital base while paying substantial dividends (multiple interim + final), demonstrating both growth and shareholder returns. The Advances-to-Deposits ratio also improved, indicating better utilization of deposits for lending.</t>
  </si>
  <si>
    <t>Statement of financial position(UBL)</t>
  </si>
  <si>
    <t>Note</t>
  </si>
  <si>
    <t>2024</t>
  </si>
  <si>
    <t>2023</t>
  </si>
  <si>
    <t>(Rupees in '000)</t>
  </si>
  <si>
    <t>LIABILITIES</t>
  </si>
  <si>
    <t>Bills payable</t>
  </si>
  <si>
    <t>Borrowings</t>
  </si>
  <si>
    <t>Deposits and other accounts</t>
  </si>
  <si>
    <t>Lease liabilities</t>
  </si>
  <si>
    <t>Subordinated debt</t>
  </si>
  <si>
    <t>Deferred tax liabilities</t>
  </si>
  <si>
    <t>Other liabilities</t>
  </si>
  <si>
    <t>NET ASSETS</t>
  </si>
  <si>
    <t>REPRESENTED BY:</t>
  </si>
  <si>
    <t>Share capital</t>
  </si>
  <si>
    <t>Reserves</t>
  </si>
  <si>
    <t>Surplus on revaluation of assets - net</t>
  </si>
  <si>
    <t>Unappropriated profit</t>
  </si>
  <si>
    <t>Total equity attributable to the equity holders of the Bank</t>
  </si>
  <si>
    <t>Non-controlling interest</t>
  </si>
  <si>
    <t>Profit and loss statemnet (UBL)</t>
  </si>
  <si>
    <t>Mark-up / return/interest earned</t>
  </si>
  <si>
    <t>Mark-up/return/interest expensed</t>
  </si>
  <si>
    <t>Net mark-up / interest income</t>
  </si>
  <si>
    <t>Non mark-up / interest income</t>
  </si>
  <si>
    <t>Fee and commission income</t>
  </si>
  <si>
    <t>Dividend income</t>
  </si>
  <si>
    <t>Foreign exchange income</t>
  </si>
  <si>
    <t>Gain / (Loss) on derivatives</t>
  </si>
  <si>
    <t>Gain on securities - net</t>
  </si>
  <si>
    <t>Capital gain on derecognition of financial assets measured at amortised cost</t>
  </si>
  <si>
    <t>Other income</t>
  </si>
  <si>
    <t>Total non mark-up/interest income</t>
  </si>
  <si>
    <t>Total income</t>
  </si>
  <si>
    <t>Non mark-up / interest expenses</t>
  </si>
  <si>
    <t>Operating expenses</t>
  </si>
  <si>
    <t>Workers' Welfare Fund</t>
  </si>
  <si>
    <t>Other charges</t>
  </si>
  <si>
    <t>Total non mark-up/interest expenses</t>
  </si>
  <si>
    <t>Share of gain / (loss) of associates</t>
  </si>
  <si>
    <t>Profit before credit loss allowance</t>
  </si>
  <si>
    <t>Credit loss allowance / provisions and write-offs - net</t>
  </si>
  <si>
    <t>Profit before taxation from continuing operations</t>
  </si>
  <si>
    <t>Taxation</t>
  </si>
  <si>
    <t>Profit after taxation from continuing operations</t>
  </si>
  <si>
    <t>Discontinued operations</t>
  </si>
  <si>
    <t>Profit from discontinued operations - net of tax</t>
  </si>
  <si>
    <t>Attributable to:</t>
  </si>
  <si>
    <t>Equity holders of the Bank</t>
  </si>
  <si>
    <t>from continuing operations</t>
  </si>
  <si>
    <t>from discontinued operations</t>
  </si>
  <si>
    <t>from discontinued operation</t>
  </si>
  <si>
    <t>(Rupees)</t>
  </si>
  <si>
    <t>Earnings per share for profit from continuing operations attributable to the equity holders of the Bank</t>
  </si>
  <si>
    <t>Basic and diluted</t>
  </si>
  <si>
    <t>Earnings per share for profit attributable to the equity holders of the Bank</t>
  </si>
  <si>
    <t>* Number of shares</t>
  </si>
  <si>
    <t>Statement of comprehensive income</t>
  </si>
  <si>
    <t>Profit after taxation for the year attributable to:</t>
  </si>
  <si>
    <t>Other comprehensive income</t>
  </si>
  <si>
    <t>Items that may be reclassified to profit and loss account in subsequent periods</t>
  </si>
  <si>
    <t>Effect of translation of net investment in foreign branches and subsidiaries</t>
  </si>
  <si>
    <t>Less: Reserve reclassified to profit and loss on disposal of subsidiary</t>
  </si>
  <si>
    <t>Movement in surplus / (deficit) on revaluation of debt investments through FVOCI - net of tax</t>
  </si>
  <si>
    <t>Items that will not be reclassified to profit and loss account in subsequent periods</t>
  </si>
  <si>
    <t>Re measurement gain on defined benefit obligations - net of tax</t>
  </si>
  <si>
    <t>Movement in surplus on revaluation of investment in equity investments - net of tax</t>
  </si>
  <si>
    <t>Movement in surplus on revaluation of property and equipment - net of tax</t>
  </si>
  <si>
    <t>Movement in surplus on revaluation of non-banking assets - net of tax</t>
  </si>
  <si>
    <t>Total comprehensive income for the year</t>
  </si>
  <si>
    <t>Changes in equity</t>
  </si>
  <si>
    <t>Column1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</si>
  <si>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</si>
  <si>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</si>
  <si>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</si>
  <si>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</si>
  <si>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</si>
  <si>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</si>
  <si>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</si>
  <si>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</si>
  <si>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</si>
  <si>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</si>
  <si>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</si>
  <si>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Attributable to equity holders of the Bank</t>
  </si>
  <si>
    <t>Statutory reserve</t>
  </si>
  <si>
    <t>Capital reserve exchange translation</t>
  </si>
  <si>
    <t>Surplus/(deficit) on revaluation of :-</t>
  </si>
  <si>
    <t>Subtotal</t>
  </si>
  <si>
    <t>Non controlling interest</t>
  </si>
  <si>
    <t>Total</t>
  </si>
  <si>
    <t>Non Banking Assests</t>
  </si>
  <si>
    <t>( Rupees in '000 )</t>
  </si>
  <si>
    <t>( Rupees in '000)</t>
  </si>
  <si>
    <t>Balance as at January 01,2023</t>
  </si>
  <si>
    <t>Total comprehensive income for the year ended December 31, 2023</t>
  </si>
  <si>
    <t>Profit after taxation for the year ended December 31, 2023</t>
  </si>
  <si>
    <t>Other comprehensive income - net of tax</t>
  </si>
  <si>
    <t>Transfer from surplus on revaluation upon disposal to unappropriated profit - net of tax</t>
  </si>
  <si>
    <t>Transfer of incremental depreciation from revaluation of property and equipment to unappropriated profit - net of tax</t>
  </si>
  <si>
    <t>Transfer to statutory reserve</t>
  </si>
  <si>
    <t>Transfer from statutory reserve on liquidation of subsidiary</t>
  </si>
  <si>
    <t>Transactions with owners, recorded directly in equity</t>
  </si>
  <si>
    <t>Final cash dividend - December 31, 2022 declared subsequent to the year end at Rs. 9.0 per share</t>
  </si>
  <si>
    <t>Interim cash dividend - March 31, 2023 declared at Rs. 11.0 per share</t>
  </si>
  <si>
    <t>Interim cash dividend - June 30, 2023 declared at Rs. 11.0 per share</t>
  </si>
  <si>
    <t>Interim cash dividend - September 30, 2023 declared at Rs. 11.0 per share</t>
  </si>
  <si>
    <t>Balance as at December 31, 2023</t>
  </si>
  <si>
    <t>Effect of reclassification on adoption of IFRS 9-ECL (net of tax)</t>
  </si>
  <si>
    <t>Effect of adoption of IFRS 9 - ECL (net of tax)</t>
  </si>
  <si>
    <t>Balance as at January 01, 2024 - Restated</t>
  </si>
  <si>
    <t>Total comprehensive income for the year ended December 31, 2024</t>
  </si>
  <si>
    <t>Profit after taxation for the year ended December 31, 2024</t>
  </si>
  <si>
    <t>Transfer of net loss on disposal of FVOCI equity investments from surplus to unappropriated profit - net of tax</t>
  </si>
  <si>
    <t>Nonrecognition of subsidiary</t>
  </si>
  <si>
    <t>Final cash dividend - December 31, 2023 declared subsequent to the year end at Rs. 11.0 per share</t>
  </si>
  <si>
    <t>Interim cash dividend - March 31, 2024 declared at Rs. 11.0 per share</t>
  </si>
  <si>
    <t>Interim cash dividend - June 30, 2024 declared at Rs. 11.0 per share</t>
  </si>
  <si>
    <t>Interim cash dividend - September 30, 2024 declared at Rs. 11.0 per share</t>
  </si>
  <si>
    <t>Balance as at December 31, 2024</t>
  </si>
  <si>
    <t>CASH FLOW STATMENT</t>
  </si>
  <si>
    <t>CASH FLOW FROM OPERATING ACTIVITIES</t>
  </si>
  <si>
    <t>Profit before taxation including discontinued operations</t>
  </si>
  <si>
    <t>Less: Dividend income</t>
  </si>
  <si>
    <t>(Less) / Add: Share of gain / loss of associates</t>
  </si>
  <si>
    <t>Adjustments:</t>
  </si>
  <si>
    <t>Depreciation on property and equipment</t>
  </si>
  <si>
    <t>Depreciation on right-of-use assets</t>
  </si>
  <si>
    <t>Depreciation on non-banking assets acquired in satisfaction of claims</t>
  </si>
  <si>
    <t>Depreciation on Islamic financing against leased assets (ljarah)</t>
  </si>
  <si>
    <t>Amortisation</t>
  </si>
  <si>
    <t>Workers Welfare Fund</t>
  </si>
  <si>
    <t>Provision for retirement benefits</t>
  </si>
  <si>
    <t>Credit loss allowance against loans and advances - net</t>
  </si>
  <si>
    <t>Credit loss allowance against off-balance sheet obligations - net</t>
  </si>
  <si>
    <t>Credit loss allowance for diminution in value of investments - net</t>
  </si>
  <si>
    <t>Interest expense on lease liability against right-of-use assets</t>
  </si>
  <si>
    <t>Gain on sale of operating property and equipment - net</t>
  </si>
  <si>
    <t>Transfer of exchange translation reserve to profit and loss on nonrecognition of subsidiary</t>
  </si>
  <si>
    <t>Gain on sale of Ijarah assets - net</t>
  </si>
  <si>
    <t>Bad debts written off directly</t>
  </si>
  <si>
    <t>Unrealized gain on revaluation of investments classified as FVPL</t>
  </si>
  <si>
    <t>Credit loss allowance against other assets</t>
  </si>
  <si>
    <t>Other provisions / write-offs</t>
  </si>
  <si>
    <t>(Increase) / decrease in operating assets</t>
  </si>
  <si>
    <t>Securities cassified as FVPL</t>
  </si>
  <si>
    <t>Other assets (excluding advance taxation)</t>
  </si>
  <si>
    <t>Increase / (decrease) in operating liabilities</t>
  </si>
  <si>
    <t>Payments on account of staff retirement benefits</t>
  </si>
  <si>
    <t>Income taxes paid</t>
  </si>
  <si>
    <t>Net cash flow generated from / (used in) operating activities</t>
  </si>
  <si>
    <t>CASH FLOW FROM INVESTING ACTIVITIES</t>
  </si>
  <si>
    <t>Net investments in securities classified as FVOCI</t>
  </si>
  <si>
    <t>Net investments in amortized cost securities</t>
  </si>
  <si>
    <t>Net investments in associates</t>
  </si>
  <si>
    <t>Investment in property and equipment and intangible assets</t>
  </si>
  <si>
    <t>Dividend income received</t>
  </si>
  <si>
    <t>Sale proceeds from disposal of property and equipment and intangible assets</t>
  </si>
  <si>
    <t>Sale proceeds from sale of ljarah assets</t>
  </si>
  <si>
    <t>Effect of translation of net investment in overseas branches and subsidiaries</t>
  </si>
  <si>
    <t>Net cash flow used in investing activities</t>
  </si>
  <si>
    <t>CASH FLOW FROM FINANCING ACTIVITIES</t>
  </si>
  <si>
    <t>Lease obligation</t>
  </si>
  <si>
    <t>Payment of lease liability against right-of-use assets</t>
  </si>
  <si>
    <t>Dividends paid</t>
  </si>
  <si>
    <t>Net cash flow used in financing activities</t>
  </si>
  <si>
    <t>Increase in cash and cash equivalents</t>
  </si>
  <si>
    <t>Cash and cash equivalents at the beginning of the year</t>
  </si>
  <si>
    <t>Effect of exchange rate changes on cash and cash equivalents</t>
  </si>
  <si>
    <t>Cash and cash equivalents at the end of the year</t>
  </si>
  <si>
    <t>Working capital Statment</t>
  </si>
  <si>
    <t>Current Assets</t>
  </si>
  <si>
    <t>Current Liabilities</t>
  </si>
  <si>
    <t>Working capital</t>
  </si>
  <si>
    <t>Notes to Financial Statment</t>
  </si>
  <si>
    <t>Note 5</t>
  </si>
  <si>
    <t>CASH AND BALANCES WITH TREASURY BANKS</t>
  </si>
  <si>
    <t>In hand</t>
  </si>
  <si>
    <t>Local currency</t>
  </si>
  <si>
    <t>Foreign currencies</t>
  </si>
  <si>
    <t>With State Bank of Pakistan in</t>
  </si>
  <si>
    <t>Local currency current accounts</t>
  </si>
  <si>
    <t>Foreign currency current accounts</t>
  </si>
  <si>
    <t>Foreign currency deposit account</t>
  </si>
  <si>
    <t>With other central banks in</t>
  </si>
  <si>
    <t>Foreign currency deposit accounts</t>
  </si>
  <si>
    <t>With National Bank of Pakistan in</t>
  </si>
  <si>
    <t>National Prize Bonds</t>
  </si>
  <si>
    <t>Less Credit loss allowance held against cash and balances with treasury banks</t>
  </si>
  <si>
    <t>Cash and balances with treasury banks - net of credit loss allowance</t>
  </si>
  <si>
    <t>Note 6</t>
  </si>
  <si>
    <t>BALNACES WITH OTHER BANKS</t>
  </si>
  <si>
    <t>In Pakistan</t>
  </si>
  <si>
    <t>In current account</t>
  </si>
  <si>
    <t>In deposit account</t>
  </si>
  <si>
    <t>Outside Pakistan</t>
  </si>
  <si>
    <t>Less: Credit loss allowance held against balances with other banks</t>
  </si>
  <si>
    <t>Balances with Other Banks - net of credit loss allowance</t>
  </si>
  <si>
    <t>Note 7</t>
  </si>
  <si>
    <t>LENDINGS TO FINANCIAL INSTITUTIONS</t>
  </si>
  <si>
    <t>Musharakah lending</t>
  </si>
  <si>
    <t>Repurchase agreement lendings (reverse repo)</t>
  </si>
  <si>
    <t>Call / clean money lending</t>
  </si>
  <si>
    <t>Bai Muajjal receivable with Scheduled bank / financial institution</t>
  </si>
  <si>
    <t>Less Credit loss allowance held against lending to financial institutions</t>
  </si>
  <si>
    <t>Lending to financial institutions - net of credit loss allowance</t>
  </si>
  <si>
    <t>Note 9</t>
  </si>
  <si>
    <t>ADVANCES</t>
  </si>
  <si>
    <t>Performing</t>
  </si>
  <si>
    <t>Non-performing</t>
  </si>
  <si>
    <t>Loans cash credits running finances etc</t>
  </si>
  <si>
    <t>Islamic financing and related assets</t>
  </si>
  <si>
    <t>Bills discounted and purchased</t>
  </si>
  <si>
    <t>Advances- gross</t>
  </si>
  <si>
    <t>Credit loss allowance against advances</t>
  </si>
  <si>
    <t>-Stage 1</t>
  </si>
  <si>
    <t>-Stage 2</t>
  </si>
  <si>
    <t>-Stage 3</t>
  </si>
  <si>
    <t>Advances net of credit loss allowance</t>
  </si>
  <si>
    <t>Advances-gross</t>
  </si>
  <si>
    <t>Provision against advances</t>
  </si>
  <si>
    <t>-Specific</t>
  </si>
  <si>
    <t>-General</t>
  </si>
  <si>
    <t>Advances net of provision</t>
  </si>
  <si>
    <t>Note 10</t>
  </si>
  <si>
    <t>PROPERTY AND EQUIPMENT</t>
  </si>
  <si>
    <t>Capital work-in-progress</t>
  </si>
  <si>
    <t>Property and equipment</t>
  </si>
  <si>
    <t>Note 11</t>
  </si>
  <si>
    <t>RIGHT-OF-USE ASSETS</t>
  </si>
  <si>
    <t>Buildings</t>
  </si>
  <si>
    <t>Others</t>
  </si>
  <si>
    <t>At January 1,</t>
  </si>
  <si>
    <t>Cost</t>
  </si>
  <si>
    <t>Accumulated Depreciation</t>
  </si>
  <si>
    <t>Net Carrying amount at January 1,</t>
  </si>
  <si>
    <t>Additions during the year</t>
  </si>
  <si>
    <t>Deletions during the year</t>
  </si>
  <si>
    <t>Depreciation charge for the year</t>
  </si>
  <si>
    <t>Termination of lease</t>
  </si>
  <si>
    <t>Exchange rate adjustments</t>
  </si>
  <si>
    <t>Disposal of subsidiary</t>
  </si>
  <si>
    <t>Net Carrying amount</t>
  </si>
  <si>
    <t>Note 12</t>
  </si>
  <si>
    <t>INTANGIBLE ASSETS</t>
  </si>
  <si>
    <t>Capital work-in-progress - Computer software</t>
  </si>
  <si>
    <t>Goodwill</t>
  </si>
  <si>
    <t>Note 13</t>
  </si>
  <si>
    <t>DEFERRED TAX (LIABILITIES) / ASSETS</t>
  </si>
  <si>
    <t>At January 01,2024 - as restated</t>
  </si>
  <si>
    <t>Recognised in profit and loss  account</t>
  </si>
  <si>
    <t>Recognised in OCI</t>
  </si>
  <si>
    <t>Disposal of subsidary</t>
  </si>
  <si>
    <t>At December 31 , 2024</t>
  </si>
  <si>
    <t>Deductible temporary differences on</t>
  </si>
  <si>
    <t>- Credit loss allowance against advances</t>
  </si>
  <si>
    <t>and off balance sheet obligations</t>
  </si>
  <si>
    <t>- Surplus on revaluation on investments</t>
  </si>
  <si>
    <t>- Tax losses carried forward</t>
  </si>
  <si>
    <t>-Post-retirement employee benefits</t>
  </si>
  <si>
    <t>- Workers Welfare Fund</t>
  </si>
  <si>
    <t>-Others</t>
  </si>
  <si>
    <t>Taxable temporary differences on</t>
  </si>
  <si>
    <t>- Surplus on revaluation of</t>
  </si>
  <si>
    <t>property and equipment / non-banking assets</t>
  </si>
  <si>
    <t>- Share of profit from associates</t>
  </si>
  <si>
    <t>- Accelerated tax depreciation</t>
  </si>
  <si>
    <t>Note 14</t>
  </si>
  <si>
    <t>OTHER ASSETS</t>
  </si>
  <si>
    <t>Income / mark-up accrued in local currency</t>
  </si>
  <si>
    <t>Income / mark-up accrued in foreign currencies</t>
  </si>
  <si>
    <t>Advance taxation - net of provision for taxation</t>
  </si>
  <si>
    <t>Receivable from staff retirement fund</t>
  </si>
  <si>
    <t>Receivable from other banks against telegraphic transfers and demand drafts</t>
  </si>
  <si>
    <t>Unrealised gain on forward foreign exchange contracts</t>
  </si>
  <si>
    <t>Rebate receivable - net</t>
  </si>
  <si>
    <t>Unrealised gain on derivative financial instruments</t>
  </si>
  <si>
    <t>Suspense accounts</t>
  </si>
  <si>
    <t>Stationery and stamps on hand</t>
  </si>
  <si>
    <t>Non-banking assets acquired in satisfaction of claims</t>
  </si>
  <si>
    <t>Advances, deposits, advance rent and other prepayments</t>
  </si>
  <si>
    <t>Acceptances</t>
  </si>
  <si>
    <t>Commission receivable - Bancassurance &amp; Branchless Banking</t>
  </si>
  <si>
    <t>Receivable against fraud &amp; forgery and looted notes</t>
  </si>
  <si>
    <t>Less: Credit loss allowance / Provision held against other assets</t>
  </si>
  <si>
    <t>Other assets - net of Credit loss allowance / provision</t>
  </si>
  <si>
    <t>Surplus on revaluation of non-banking assets acquired in</t>
  </si>
  <si>
    <t>satisfaction of claims</t>
  </si>
  <si>
    <t>Other assets - total</t>
  </si>
  <si>
    <t>Note 16</t>
  </si>
  <si>
    <t>BILLS PAYABLE</t>
  </si>
  <si>
    <t>Note 17</t>
  </si>
  <si>
    <t>BORROWINGS</t>
  </si>
  <si>
    <t>Borrowings from the State Bank of Pakistan under:</t>
  </si>
  <si>
    <t>Refinance facility for modernisation of SMEs</t>
  </si>
  <si>
    <t>Long term financing facility</t>
  </si>
  <si>
    <t>Renewable energy scheme</t>
  </si>
  <si>
    <t>Temporary economic refinance facility</t>
  </si>
  <si>
    <t>Refinance facility for combating COVID-19</t>
  </si>
  <si>
    <t>Refinance for Women Entrepreneurs</t>
  </si>
  <si>
    <t>Financing facility for storage of agriculture products</t>
  </si>
  <si>
    <t>Repurchase agreement borrowings</t>
  </si>
  <si>
    <t>Repurchase agreement borrowings from other bank</t>
  </si>
  <si>
    <t>Borrowing from commercial bank by subsidiary</t>
  </si>
  <si>
    <t>Unsecured</t>
  </si>
  <si>
    <t>Call borrowings</t>
  </si>
  <si>
    <t>Overdrawn nostro accounts</t>
  </si>
  <si>
    <t>Note 18</t>
  </si>
  <si>
    <t>DEPOSITS AND OTHER ACCOUNTS</t>
  </si>
  <si>
    <t>In Local Currency</t>
  </si>
  <si>
    <t>In Foreign currencies</t>
  </si>
  <si>
    <t>Customers</t>
  </si>
  <si>
    <t>Current accounts</t>
  </si>
  <si>
    <t>Savings deposits</t>
  </si>
  <si>
    <t>Term deposits</t>
  </si>
  <si>
    <t>Financial Institutions</t>
  </si>
  <si>
    <t>Current deposits</t>
  </si>
  <si>
    <t>Note 19</t>
  </si>
  <si>
    <t>LEASE LAIBILITY</t>
  </si>
  <si>
    <t>Opening balance</t>
  </si>
  <si>
    <t>Lease payments including interest</t>
  </si>
  <si>
    <t>Interest expense</t>
  </si>
  <si>
    <t>Termination/modification</t>
  </si>
  <si>
    <t>Exchange difference</t>
  </si>
  <si>
    <t>Closing balance</t>
  </si>
  <si>
    <t>Note 21</t>
  </si>
  <si>
    <t>OTHER LIABILITIES</t>
  </si>
  <si>
    <t>Mark-up / return / interest payable in local currency</t>
  </si>
  <si>
    <t>Mark-up / return / interest payable in foreign currencies</t>
  </si>
  <si>
    <t>Accrued expenses</t>
  </si>
  <si>
    <t>Branch adjustment account</t>
  </si>
  <si>
    <t>Deferred income</t>
  </si>
  <si>
    <t>Current taxation (provisions less payments)</t>
  </si>
  <si>
    <t>Unearned commission and income on bills discounted</t>
  </si>
  <si>
    <t>Credit loss allowance / Provision against off-balance sheet obligations</t>
  </si>
  <si>
    <t>Unrealised loss on forward foreign exchange contracts</t>
  </si>
  <si>
    <t>Unrealised loss on derivative financial instruments</t>
  </si>
  <si>
    <t>Deferred liabilities</t>
  </si>
  <si>
    <t>Workers' Welfare Fund payable</t>
  </si>
  <si>
    <t>Liabilities against Card settlement</t>
  </si>
  <si>
    <t>Dividend payable</t>
  </si>
  <si>
    <t>Unclaimed dividend</t>
  </si>
  <si>
    <t>Charity fund balance</t>
  </si>
  <si>
    <t>Levies and taxes payable</t>
  </si>
  <si>
    <t>Note 22</t>
  </si>
  <si>
    <t>SHARE CAPITAL</t>
  </si>
  <si>
    <t>Authorised Capital</t>
  </si>
  <si>
    <t>Ordinary shares of 10 rs each</t>
  </si>
  <si>
    <t>Number of shares</t>
  </si>
  <si>
    <t>( Rupees in 000')</t>
  </si>
  <si>
    <t>Issued, subsbcribed and paid up capital</t>
  </si>
  <si>
    <t>Fully paid-up ordinary share</t>
  </si>
  <si>
    <t>Note 23</t>
  </si>
  <si>
    <t>SURPLUS ON REVALUATION OF ASSETS-NET</t>
  </si>
  <si>
    <t>Equity Holders</t>
  </si>
  <si>
    <t>(Deficit) / Surplus arising on revaluation of:</t>
  </si>
  <si>
    <t>- Securities measured at FVOCI - Debt</t>
  </si>
  <si>
    <t>- Securities measured at FVOCI - Equity</t>
  </si>
  <si>
    <t>- Property and Equipment</t>
  </si>
  <si>
    <t>-Non-banking assets acquired in satisfaction of claims</t>
  </si>
  <si>
    <t>- Assets of associates</t>
  </si>
  <si>
    <t>Deferred tax on (deficit)/surplus on revaluation of:</t>
  </si>
  <si>
    <t>Securities measured at FVOCI - Equity</t>
  </si>
  <si>
    <t>- Property and equipment</t>
  </si>
  <si>
    <t>---</t>
  </si>
  <si>
    <t>-</t>
  </si>
  <si>
    <t>- Available for sale securities-Debt</t>
  </si>
  <si>
    <t>- Available for sale securities-Equity</t>
  </si>
  <si>
    <t>Note 24</t>
  </si>
  <si>
    <t>NON CONROLLING INTEREST</t>
  </si>
  <si>
    <t>UBL FM</t>
  </si>
  <si>
    <t>UNBL</t>
  </si>
  <si>
    <t>Share of NCI</t>
  </si>
  <si>
    <t>Assets</t>
  </si>
  <si>
    <t>Liabilities</t>
  </si>
  <si>
    <t>Net assets</t>
  </si>
  <si>
    <t>Net assets attributable to NCI</t>
  </si>
  <si>
    <t>Note 27</t>
  </si>
  <si>
    <t>MARK-UP /REUTRN/INTEREST EARNED</t>
  </si>
  <si>
    <t>On:</t>
  </si>
  <si>
    <t>Loans and advances</t>
  </si>
  <si>
    <t>Balances with banks</t>
  </si>
  <si>
    <t>Note 28</t>
  </si>
  <si>
    <t>MARK-UP /REUTRN/INTEREST EXPENSED</t>
  </si>
  <si>
    <t>Deposits</t>
  </si>
  <si>
    <t>Cost of foreign currency swaps against foreign currency deposits / borrowings</t>
  </si>
  <si>
    <t>Lease liability against right-of-use assets</t>
  </si>
  <si>
    <t>Note 29</t>
  </si>
  <si>
    <t>FEE AND COMMISSION INCOME</t>
  </si>
  <si>
    <t>Branch banking customer fees</t>
  </si>
  <si>
    <t>Consumer finance related fees</t>
  </si>
  <si>
    <t>Card related fees (debit and credit cards)</t>
  </si>
  <si>
    <t>Investment banking fees</t>
  </si>
  <si>
    <t>Financial Institution rebate / commission</t>
  </si>
  <si>
    <t>Corporate service charges / facility fee</t>
  </si>
  <si>
    <t>Commission on trade</t>
  </si>
  <si>
    <t>Commission on guarantees</t>
  </si>
  <si>
    <t>Commission on cash management</t>
  </si>
  <si>
    <t>Commission on remittances including home remittances - net</t>
  </si>
  <si>
    <t>Commission on bancassurance</t>
  </si>
  <si>
    <t>Management fee</t>
  </si>
  <si>
    <t>Rent on lockers</t>
  </si>
  <si>
    <t>Note 30</t>
  </si>
  <si>
    <t>GAIN ON SECURITIES - NET</t>
  </si>
  <si>
    <t>Realised</t>
  </si>
  <si>
    <t>Unrealised - Measured at FVTPL</t>
  </si>
  <si>
    <t>Note 31</t>
  </si>
  <si>
    <t>OTHER INCOME</t>
  </si>
  <si>
    <t>Charges recovered</t>
  </si>
  <si>
    <t>Rent on properties</t>
  </si>
  <si>
    <t>Gain on sale of property and equipment - net</t>
  </si>
  <si>
    <t>Loss on trading liabilities - net</t>
  </si>
  <si>
    <t>Note 32</t>
  </si>
  <si>
    <t>OPERATING EXPENSES</t>
  </si>
  <si>
    <t>Total compensation expense</t>
  </si>
  <si>
    <t>Property expense</t>
  </si>
  <si>
    <t>Rent and taxes</t>
  </si>
  <si>
    <t>Insurance</t>
  </si>
  <si>
    <t>Utilities cost</t>
  </si>
  <si>
    <t>Security (including guards)</t>
  </si>
  <si>
    <t>Repair and maintenance (including janitorial charges)</t>
  </si>
  <si>
    <t>Depreciation</t>
  </si>
  <si>
    <t>Depreciation - right-of-use assets</t>
  </si>
  <si>
    <t>Information technology expenses</t>
  </si>
  <si>
    <t>Software maintenance</t>
  </si>
  <si>
    <t>Hardware maintenance</t>
  </si>
  <si>
    <t>Network charges</t>
  </si>
  <si>
    <t>Consultancy charges</t>
  </si>
  <si>
    <t>Other operating expenses</t>
  </si>
  <si>
    <t>Legal and professional charges</t>
  </si>
  <si>
    <t>Commission paid to branchless banking agents</t>
  </si>
  <si>
    <t>Commission paid to sales force</t>
  </si>
  <si>
    <t>Outsourced service costs</t>
  </si>
  <si>
    <t>Travelling and conveyance</t>
  </si>
  <si>
    <t>Clearing charges</t>
  </si>
  <si>
    <t>Depreciation on Islamic financing against leased assets</t>
  </si>
  <si>
    <t>Training and development</t>
  </si>
  <si>
    <t>Postage and courier charges</t>
  </si>
  <si>
    <t>Communication</t>
  </si>
  <si>
    <t>Stationery and printing</t>
  </si>
  <si>
    <t>Marketing advertisement and publicity</t>
  </si>
  <si>
    <t>Donations</t>
  </si>
  <si>
    <t>Auditors' remuneration</t>
  </si>
  <si>
    <t>Deposit protection premium expense</t>
  </si>
  <si>
    <t>Cash transportation and sorting charges</t>
  </si>
  <si>
    <t>Entertainment</t>
  </si>
  <si>
    <t>Vehicle expenses</t>
  </si>
  <si>
    <t>Subscription</t>
  </si>
  <si>
    <t>Office running expenses</t>
  </si>
  <si>
    <t>Banking service charges</t>
  </si>
  <si>
    <t>Repairs and maintenance</t>
  </si>
  <si>
    <t>Cartage freight and conveyance</t>
  </si>
  <si>
    <t>Miscellaneous expenses</t>
  </si>
  <si>
    <t>Note 34</t>
  </si>
  <si>
    <t>OTHER CHARGES</t>
  </si>
  <si>
    <t>Penalties imposed by the SBP</t>
  </si>
  <si>
    <t>Penalties imposed by other regulatory bodies of overseas branches</t>
  </si>
  <si>
    <t>Note 35</t>
  </si>
  <si>
    <t>CREDIT LOSS ALLOWANCE &amp; WRITE OFFS - NET</t>
  </si>
  <si>
    <t>Credit loss allowance/ Reversal of provision against loans and advances</t>
  </si>
  <si>
    <t>Credit loss allowance/ Provision for dimunition in value of investments</t>
  </si>
  <si>
    <t>Credit loss allowance/ Provision against other assets - net</t>
  </si>
  <si>
    <t>Credit loss allowance/ Reversal of provision against off-balance sheet obligations - net</t>
  </si>
  <si>
    <t>Recoveries against written off / charged off bad debts</t>
  </si>
  <si>
    <t>Credit loss allowance against cash and balances with treasury bank</t>
  </si>
  <si>
    <t>Note 36</t>
  </si>
  <si>
    <t>TAXATION</t>
  </si>
  <si>
    <t>Current</t>
  </si>
  <si>
    <t>Prior years</t>
  </si>
  <si>
    <t>Deferred</t>
  </si>
  <si>
    <t>Note 39</t>
  </si>
  <si>
    <t>CASH AND CASH EQUIVALENT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</si>
</sst>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.0%"/>
  </numFmts>
  <fonts count="43"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8"/>
      <color theme="3"/>
      <name val="Calibri"/>
      <charset val="134"/>
      <scheme val="minor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rgb="FF000000"/>
      <name val="Arial"/>
      <charset val="134"/>
    </font>
    <font>
      <sz val="12"/>
      <color rgb="FF000000"/>
      <name val="Arial"/>
      <charset val="134"/>
    </font>
    <font>
      <b/>
      <sz val="12"/>
      <color theme="1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Microsoft Yahei"/>
      <charset val="134"/>
    </font>
    <font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1"/>
      <name val="Calibri"/>
      <charset val="134"/>
      <scheme val="minor"/>
    </font>
    <font>
      <b/>
      <sz val="14"/>
      <color rgb="FF000000"/>
      <name val="Arial"/>
      <charset val="134"/>
    </font>
    <font>
      <b/>
      <sz val="12"/>
      <color rgb="FF000000"/>
      <name val="Arial"/>
      <charset val="134"/>
    </font>
    <font>
      <sz val="6.2"/>
      <color rgb="FF000000"/>
      <name val="Arial Narrow"/>
      <charset val="134"/>
    </font>
    <font>
      <b/>
      <sz val="14"/>
      <color theme="1" tint="0.5"/>
      <name val="Calibri"/>
      <charset val="134"/>
      <scheme val="minor"/>
    </font>
    <font>
      <b/>
      <sz val="1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name val="Calibri"/>
      <charset val="0"/>
      <scheme val="minor"/>
    </font>
    <font>
      <b/>
      <sz val="22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theme="2" tint="-0.1"/>
      </left>
      <right style="hair">
        <color theme="2" tint="-0.1"/>
      </right>
      <top style="hair">
        <color theme="2" tint="-0.1"/>
      </top>
      <bottom style="hair">
        <color theme="2" tint="-0.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/>
      <diagonal/>
    </border>
    <border>
      <left style="medium">
        <color rgb="FFEAEAEA"/>
      </left>
      <right/>
      <top style="medium">
        <color rgb="FFEAEAEA"/>
      </top>
      <bottom/>
      <diagonal/>
    </border>
    <border>
      <left/>
      <right/>
      <top style="medium">
        <color rgb="FFEAEAEA"/>
      </top>
      <bottom/>
      <diagonal/>
    </border>
    <border>
      <left/>
      <right style="medium">
        <color rgb="FFEAEAEA"/>
      </right>
      <top style="medium">
        <color rgb="FFEAEAEA"/>
      </top>
      <bottom/>
      <diagonal/>
    </border>
    <border>
      <left style="medium">
        <color rgb="FFEAEAEA"/>
      </left>
      <right/>
      <top/>
      <bottom/>
      <diagonal/>
    </border>
    <border>
      <left style="medium">
        <color rgb="FFEAEAEA"/>
      </left>
      <right/>
      <top style="thin">
        <color auto="1"/>
      </top>
      <bottom/>
      <diagonal/>
    </border>
    <border>
      <left style="medium">
        <color rgb="FFEAEAEA"/>
      </left>
      <right/>
      <top style="medium">
        <color rgb="FFEAEAEA"/>
      </top>
      <bottom style="medium">
        <color rgb="FFEAEAEA"/>
      </bottom>
      <diagonal/>
    </border>
    <border>
      <left style="medium">
        <color rgb="FFEAEAEA"/>
      </left>
      <right/>
      <top style="thin">
        <color auto="1"/>
      </top>
      <bottom style="double">
        <color theme="1"/>
      </bottom>
      <diagonal/>
    </border>
    <border>
      <left style="medium">
        <color rgb="FFEAEAEA"/>
      </left>
      <right/>
      <top style="thin">
        <color theme="1"/>
      </top>
      <bottom style="double">
        <color theme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rgb="FFEAEAEA"/>
      </left>
      <right style="medium">
        <color rgb="FFEAEAEA"/>
      </right>
      <top style="thin">
        <color auto="1"/>
      </top>
      <bottom/>
      <diagonal/>
    </border>
    <border>
      <left style="medium">
        <color rgb="FFEAEAEA"/>
      </left>
      <right style="medium">
        <color rgb="FFEAEAEA"/>
      </right>
      <top style="thin">
        <color theme="1"/>
      </top>
      <bottom style="double">
        <color theme="1"/>
      </bottom>
      <diagonal/>
    </border>
    <border>
      <left style="medium">
        <color rgb="FFEAEAEA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EAEAEA"/>
      </top>
      <bottom/>
      <diagonal/>
    </border>
    <border>
      <left style="medium">
        <color rgb="FFEAEAEA"/>
      </left>
      <right style="thin">
        <color auto="1"/>
      </right>
      <top style="medium">
        <color rgb="FFEAEAEA"/>
      </top>
      <bottom/>
      <diagonal/>
    </border>
    <border>
      <left style="thin">
        <color auto="1"/>
      </left>
      <right/>
      <top style="medium">
        <color rgb="FFEAEAEA"/>
      </top>
      <bottom style="thin">
        <color auto="1"/>
      </bottom>
      <diagonal/>
    </border>
    <border>
      <left style="medium">
        <color rgb="FFEAEAEA"/>
      </left>
      <right style="thin">
        <color auto="1"/>
      </right>
      <top style="medium">
        <color rgb="FFEAEAEA"/>
      </top>
      <bottom style="thin">
        <color auto="1"/>
      </bottom>
      <diagonal/>
    </border>
    <border>
      <left style="medium">
        <color rgb="FFEAEAEA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rgb="FFEAEAEA"/>
      </top>
      <bottom style="thin">
        <color auto="1"/>
      </bottom>
      <diagonal/>
    </border>
    <border>
      <left/>
      <right style="thin">
        <color auto="1"/>
      </right>
      <top style="medium">
        <color rgb="FFEAEAEA"/>
      </top>
      <bottom style="thin">
        <color auto="1"/>
      </bottom>
      <diagonal/>
    </border>
    <border>
      <left/>
      <right style="thin">
        <color auto="1"/>
      </right>
      <top style="medium">
        <color rgb="FFEAEAEA"/>
      </top>
      <bottom/>
      <diagonal/>
    </border>
    <border>
      <left style="thin">
        <color auto="1"/>
      </left>
      <right style="thin">
        <color auto="1"/>
      </right>
      <top style="medium">
        <color rgb="FFEAEAEA"/>
      </top>
      <bottom/>
      <diagonal/>
    </border>
    <border>
      <left style="medium">
        <color rgb="FFEAEAEA"/>
      </left>
      <right style="medium">
        <color rgb="FFEAEAEA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 style="medium">
        <color rgb="FFEAEAEA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10" borderId="54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55" applyNumberFormat="0" applyFill="0" applyAlignment="0" applyProtection="0">
      <alignment vertical="center"/>
    </xf>
    <xf numFmtId="0" fontId="32" fillId="0" borderId="55" applyNumberFormat="0" applyFill="0" applyAlignment="0" applyProtection="0">
      <alignment vertical="center"/>
    </xf>
    <xf numFmtId="0" fontId="33" fillId="0" borderId="5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1" borderId="56" applyNumberFormat="0" applyAlignment="0" applyProtection="0">
      <alignment vertical="center"/>
    </xf>
    <xf numFmtId="0" fontId="35" fillId="12" borderId="57" applyNumberFormat="0" applyAlignment="0" applyProtection="0">
      <alignment vertical="center"/>
    </xf>
    <xf numFmtId="0" fontId="36" fillId="12" borderId="56" applyNumberFormat="0" applyAlignment="0" applyProtection="0">
      <alignment vertical="center"/>
    </xf>
    <xf numFmtId="0" fontId="37" fillId="13" borderId="58" applyNumberFormat="0" applyAlignment="0" applyProtection="0">
      <alignment vertical="center"/>
    </xf>
    <xf numFmtId="0" fontId="38" fillId="0" borderId="59" applyNumberFormat="0" applyFill="0" applyAlignment="0" applyProtection="0">
      <alignment vertical="center"/>
    </xf>
    <xf numFmtId="0" fontId="21" fillId="0" borderId="60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</cellStyleXfs>
  <cellXfs count="298">
    <xf numFmtId="0" fontId="0" fillId="0" borderId="0" xfId="0" applyNumberFormat="1"/>
    <xf numFmtId="0" fontId="1" fillId="0" borderId="0" xfId="0" applyNumberFormat="1" applyFont="1" applyAlignment="1">
      <alignment horizontal="left" vertical="center"/>
    </xf>
    <xf numFmtId="0" fontId="2" fillId="0" borderId="0" xfId="0" applyNumberFormat="1" applyFont="1"/>
    <xf numFmtId="3" fontId="2" fillId="0" borderId="0" xfId="0" applyNumberFormat="1" applyFont="1"/>
    <xf numFmtId="178" fontId="0" fillId="0" borderId="0" xfId="0" applyNumberFormat="1"/>
    <xf numFmtId="0" fontId="3" fillId="0" borderId="0" xfId="10" applyNumberForma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left" vertical="center" wrapText="1"/>
    </xf>
    <xf numFmtId="0" fontId="6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178" fontId="2" fillId="0" borderId="0" xfId="0" applyNumberFormat="1" applyFont="1"/>
    <xf numFmtId="3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center" vertical="center" wrapText="1"/>
    </xf>
    <xf numFmtId="0" fontId="6" fillId="0" borderId="0" xfId="0" applyNumberFormat="1" applyFont="1" applyFill="1" applyAlignment="1">
      <alignment horizontal="left" vertical="center" wrapText="1"/>
    </xf>
    <xf numFmtId="0" fontId="6" fillId="0" borderId="9" xfId="0" applyNumberFormat="1" applyFont="1" applyFill="1" applyBorder="1" applyAlignment="1">
      <alignment horizontal="left" vertical="center" wrapText="1"/>
    </xf>
    <xf numFmtId="41" fontId="2" fillId="0" borderId="0" xfId="0" applyNumberFormat="1" applyFont="1"/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0" fontId="5" fillId="0" borderId="0" xfId="0" applyNumberFormat="1" applyFont="1" applyFill="1" applyAlignment="1">
      <alignment horizontal="left" vertical="center" wrapText="1"/>
    </xf>
    <xf numFmtId="3" fontId="5" fillId="0" borderId="10" xfId="0" applyNumberFormat="1" applyFont="1" applyBorder="1" applyAlignment="1">
      <alignment horizontal="center" vertical="center" wrapText="1"/>
    </xf>
    <xf numFmtId="3" fontId="5" fillId="0" borderId="1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10" fillId="0" borderId="13" xfId="0" applyNumberFormat="1" applyFont="1" applyBorder="1" applyAlignment="1">
      <alignment horizontal="center" vertical="center" wrapText="1"/>
    </xf>
    <xf numFmtId="0" fontId="10" fillId="0" borderId="14" xfId="0" applyNumberFormat="1" applyFont="1" applyBorder="1" applyAlignment="1">
      <alignment horizontal="center" vertical="center" wrapText="1"/>
    </xf>
    <xf numFmtId="0" fontId="10" fillId="0" borderId="15" xfId="0" applyNumberFormat="1" applyFont="1" applyBorder="1" applyAlignment="1">
      <alignment horizontal="center" vertical="center" wrapText="1"/>
    </xf>
    <xf numFmtId="41" fontId="0" fillId="0" borderId="0" xfId="0" applyNumberFormat="1"/>
    <xf numFmtId="0" fontId="7" fillId="0" borderId="13" xfId="0" applyFont="1" applyBorder="1" applyAlignment="1">
      <alignment horizontal="left" vertical="center" wrapText="1"/>
    </xf>
    <xf numFmtId="3" fontId="10" fillId="0" borderId="16" xfId="0" applyNumberFormat="1" applyFont="1" applyBorder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3" fontId="10" fillId="0" borderId="13" xfId="0" applyNumberFormat="1" applyFont="1" applyBorder="1" applyAlignment="1">
      <alignment horizontal="center" vertical="center" wrapText="1"/>
    </xf>
    <xf numFmtId="3" fontId="10" fillId="0" borderId="12" xfId="0" applyNumberFormat="1" applyFont="1" applyBorder="1" applyAlignment="1">
      <alignment horizontal="center" vertical="center" wrapText="1"/>
    </xf>
    <xf numFmtId="3" fontId="7" fillId="0" borderId="13" xfId="0" applyNumberFormat="1" applyFont="1" applyBorder="1" applyAlignment="1">
      <alignment horizontal="center" vertical="center" wrapText="1"/>
    </xf>
    <xf numFmtId="3" fontId="7" fillId="0" borderId="12" xfId="0" applyNumberFormat="1" applyFont="1" applyBorder="1" applyAlignment="1">
      <alignment horizontal="center" vertical="center" wrapText="1"/>
    </xf>
    <xf numFmtId="3" fontId="7" fillId="0" borderId="17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3" fontId="8" fillId="0" borderId="16" xfId="0" applyNumberFormat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3" fontId="7" fillId="0" borderId="19" xfId="0" applyNumberFormat="1" applyFont="1" applyBorder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3" fontId="7" fillId="0" borderId="20" xfId="0" applyNumberFormat="1" applyFont="1" applyBorder="1" applyAlignment="1">
      <alignment horizontal="center" vertical="center" wrapText="1"/>
    </xf>
    <xf numFmtId="3" fontId="6" fillId="0" borderId="21" xfId="0" applyNumberFormat="1" applyFont="1" applyBorder="1" applyAlignment="1">
      <alignment horizontal="center" vertical="center" wrapText="1"/>
    </xf>
    <xf numFmtId="3" fontId="6" fillId="0" borderId="22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2" xfId="0" applyNumberFormat="1" applyFont="1" applyBorder="1" applyAlignment="1">
      <alignment horizontal="center" vertical="center" wrapText="1"/>
    </xf>
    <xf numFmtId="3" fontId="10" fillId="0" borderId="15" xfId="0" applyNumberFormat="1" applyFont="1" applyBorder="1" applyAlignment="1">
      <alignment horizontal="center" vertical="center" wrapText="1"/>
    </xf>
    <xf numFmtId="3" fontId="7" fillId="0" borderId="23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3" fontId="5" fillId="0" borderId="0" xfId="0" applyNumberFormat="1" applyFont="1" applyBorder="1" applyAlignment="1">
      <alignment horizontal="center" vertical="center" wrapText="1"/>
    </xf>
    <xf numFmtId="3" fontId="2" fillId="0" borderId="5" xfId="0" applyNumberFormat="1" applyFont="1" applyBorder="1"/>
    <xf numFmtId="0" fontId="6" fillId="0" borderId="0" xfId="0" applyNumberFormat="1" applyFont="1" applyFill="1" applyAlignment="1">
      <alignment horizontal="center" vertical="center" wrapText="1"/>
    </xf>
    <xf numFmtId="3" fontId="6" fillId="0" borderId="0" xfId="0" applyNumberFormat="1" applyFont="1" applyFill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/>
    <xf numFmtId="0" fontId="11" fillId="0" borderId="0" xfId="0" applyNumberFormat="1" applyFont="1"/>
    <xf numFmtId="178" fontId="11" fillId="0" borderId="0" xfId="0" applyNumberFormat="1" applyFont="1"/>
    <xf numFmtId="0" fontId="6" fillId="0" borderId="0" xfId="0" applyNumberFormat="1" applyFont="1" applyAlignment="1">
      <alignment horizontal="left" wrapText="1"/>
    </xf>
    <xf numFmtId="0" fontId="5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wrapText="1"/>
    </xf>
    <xf numFmtId="0" fontId="5" fillId="0" borderId="0" xfId="0" applyNumberFormat="1" applyFont="1" applyAlignment="1">
      <alignment horizontal="left" wrapText="1"/>
    </xf>
    <xf numFmtId="3" fontId="6" fillId="0" borderId="0" xfId="0" applyNumberFormat="1" applyFont="1" applyAlignment="1">
      <alignment vertical="center" wrapText="1"/>
    </xf>
    <xf numFmtId="3" fontId="5" fillId="0" borderId="8" xfId="0" applyNumberFormat="1" applyFont="1" applyBorder="1" applyAlignment="1">
      <alignment horizontal="center" wrapText="1"/>
    </xf>
    <xf numFmtId="0" fontId="12" fillId="0" borderId="0" xfId="0" applyNumberFormat="1" applyFont="1"/>
    <xf numFmtId="3" fontId="5" fillId="0" borderId="1" xfId="0" applyNumberFormat="1" applyFont="1" applyBorder="1" applyAlignment="1">
      <alignment horizontal="center" wrapText="1"/>
    </xf>
    <xf numFmtId="3" fontId="5" fillId="0" borderId="2" xfId="0" applyNumberFormat="1" applyFont="1" applyBorder="1" applyAlignment="1">
      <alignment horizontal="center" wrapText="1"/>
    </xf>
    <xf numFmtId="3" fontId="5" fillId="0" borderId="5" xfId="0" applyNumberFormat="1" applyFont="1" applyBorder="1" applyAlignment="1">
      <alignment horizontal="center" wrapText="1"/>
    </xf>
    <xf numFmtId="3" fontId="5" fillId="0" borderId="6" xfId="0" applyNumberFormat="1" applyFont="1" applyBorder="1" applyAlignment="1">
      <alignment horizontal="center" wrapText="1"/>
    </xf>
    <xf numFmtId="3" fontId="5" fillId="0" borderId="3" xfId="0" applyNumberFormat="1" applyFont="1" applyBorder="1" applyAlignment="1">
      <alignment horizontal="center" wrapText="1"/>
    </xf>
    <xf numFmtId="3" fontId="5" fillId="0" borderId="4" xfId="0" applyNumberFormat="1" applyFont="1" applyBorder="1" applyAlignment="1">
      <alignment horizontal="center" wrapText="1"/>
    </xf>
    <xf numFmtId="0" fontId="5" fillId="0" borderId="0" xfId="0" applyNumberFormat="1" applyFont="1" applyAlignment="1">
      <alignment horizontal="left"/>
    </xf>
    <xf numFmtId="3" fontId="5" fillId="0" borderId="5" xfId="0" applyNumberFormat="1" applyFont="1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0" borderId="3" xfId="0" applyNumberFormat="1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3" fontId="5" fillId="0" borderId="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center" vertical="center"/>
    </xf>
    <xf numFmtId="37" fontId="6" fillId="0" borderId="0" xfId="0" applyNumberFormat="1" applyFont="1" applyAlignment="1">
      <alignment horizontal="center" vertical="center" wrapText="1"/>
    </xf>
    <xf numFmtId="37" fontId="5" fillId="0" borderId="0" xfId="0" applyNumberFormat="1" applyFont="1" applyAlignment="1">
      <alignment horizontal="center"/>
    </xf>
    <xf numFmtId="37" fontId="5" fillId="0" borderId="8" xfId="0" applyNumberFormat="1" applyFont="1" applyBorder="1" applyAlignment="1">
      <alignment horizontal="center"/>
    </xf>
    <xf numFmtId="37" fontId="5" fillId="0" borderId="0" xfId="0" applyNumberFormat="1" applyFont="1"/>
    <xf numFmtId="0" fontId="5" fillId="0" borderId="0" xfId="0" applyNumberFormat="1" applyFont="1"/>
    <xf numFmtId="37" fontId="5" fillId="0" borderId="0" xfId="0" applyNumberFormat="1" applyFont="1" applyAlignment="1">
      <alignment horizontal="right"/>
    </xf>
    <xf numFmtId="37" fontId="5" fillId="0" borderId="8" xfId="0" applyNumberFormat="1" applyFont="1" applyBorder="1"/>
    <xf numFmtId="0" fontId="6" fillId="0" borderId="0" xfId="0" applyNumberFormat="1" applyFont="1"/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37" fontId="7" fillId="0" borderId="12" xfId="0" applyNumberFormat="1" applyFont="1" applyBorder="1" applyAlignment="1">
      <alignment horizontal="center"/>
    </xf>
    <xf numFmtId="0" fontId="7" fillId="0" borderId="18" xfId="0" applyFont="1" applyBorder="1" applyAlignment="1">
      <alignment horizontal="left"/>
    </xf>
    <xf numFmtId="37" fontId="7" fillId="0" borderId="24" xfId="0" applyNumberFormat="1" applyFont="1" applyBorder="1" applyAlignment="1">
      <alignment horizontal="center"/>
    </xf>
    <xf numFmtId="37" fontId="7" fillId="0" borderId="24" xfId="0" applyNumberFormat="1" applyFont="1" applyBorder="1" applyAlignment="1">
      <alignment horizontal="right"/>
    </xf>
    <xf numFmtId="37" fontId="0" fillId="0" borderId="0" xfId="0" applyNumberFormat="1"/>
    <xf numFmtId="0" fontId="3" fillId="0" borderId="0" xfId="10" applyNumberFormat="1" applyAlignment="1">
      <alignment horizontal="center"/>
    </xf>
    <xf numFmtId="0" fontId="13" fillId="0" borderId="0" xfId="0" applyNumberFormat="1" applyFont="1" applyAlignment="1">
      <alignment horizontal="center" vertical="center"/>
    </xf>
    <xf numFmtId="3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wrapText="1"/>
    </xf>
    <xf numFmtId="37" fontId="9" fillId="0" borderId="0" xfId="0" applyNumberFormat="1" applyFont="1" applyAlignment="1">
      <alignment horizontal="center"/>
    </xf>
    <xf numFmtId="0" fontId="13" fillId="0" borderId="0" xfId="0" applyFont="1" applyAlignment="1">
      <alignment wrapText="1"/>
    </xf>
    <xf numFmtId="3" fontId="0" fillId="0" borderId="0" xfId="0" applyNumberFormat="1" applyAlignment="1">
      <alignment wrapText="1"/>
    </xf>
    <xf numFmtId="0" fontId="14" fillId="2" borderId="13" xfId="27" applyBorder="1" applyAlignment="1">
      <alignment horizontal="center"/>
    </xf>
    <xf numFmtId="37" fontId="8" fillId="0" borderId="1" xfId="0" applyNumberFormat="1" applyFont="1" applyBorder="1" applyAlignment="1">
      <alignment horizontal="left"/>
    </xf>
    <xf numFmtId="37" fontId="8" fillId="0" borderId="25" xfId="0" applyNumberFormat="1" applyFont="1" applyBorder="1" applyAlignment="1">
      <alignment horizontal="left"/>
    </xf>
    <xf numFmtId="37" fontId="8" fillId="0" borderId="26" xfId="0" applyNumberFormat="1" applyFont="1" applyBorder="1" applyAlignment="1">
      <alignment horizontal="left"/>
    </xf>
    <xf numFmtId="37" fontId="8" fillId="0" borderId="27" xfId="0" applyNumberFormat="1" applyFont="1" applyBorder="1" applyAlignment="1">
      <alignment horizontal="left"/>
    </xf>
    <xf numFmtId="37" fontId="8" fillId="0" borderId="28" xfId="0" applyNumberFormat="1" applyFont="1" applyBorder="1" applyAlignment="1">
      <alignment horizontal="left"/>
    </xf>
    <xf numFmtId="37" fontId="8" fillId="0" borderId="29" xfId="0" applyNumberFormat="1" applyFont="1" applyBorder="1" applyAlignment="1">
      <alignment horizontal="left"/>
    </xf>
    <xf numFmtId="37" fontId="0" fillId="0" borderId="10" xfId="0" applyNumberFormat="1" applyBorder="1"/>
    <xf numFmtId="0" fontId="13" fillId="0" borderId="0" xfId="0" applyNumberFormat="1" applyFont="1"/>
    <xf numFmtId="0" fontId="8" fillId="0" borderId="13" xfId="0" applyFont="1" applyBorder="1" applyAlignment="1">
      <alignment horizontal="center"/>
    </xf>
    <xf numFmtId="37" fontId="8" fillId="0" borderId="30" xfId="0" applyNumberFormat="1" applyFont="1" applyBorder="1" applyAlignment="1">
      <alignment horizontal="left"/>
    </xf>
    <xf numFmtId="37" fontId="0" fillId="0" borderId="11" xfId="0" applyNumberFormat="1" applyBorder="1"/>
    <xf numFmtId="0" fontId="9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left"/>
    </xf>
    <xf numFmtId="0" fontId="9" fillId="0" borderId="0" xfId="0" applyNumberFormat="1" applyFont="1"/>
    <xf numFmtId="37" fontId="2" fillId="0" borderId="0" xfId="0" applyNumberFormat="1" applyFont="1"/>
    <xf numFmtId="37" fontId="2" fillId="0" borderId="0" xfId="0" applyNumberFormat="1" applyFont="1" applyAlignment="1">
      <alignment horizontal="right"/>
    </xf>
    <xf numFmtId="37" fontId="2" fillId="0" borderId="7" xfId="0" applyNumberFormat="1" applyFont="1" applyBorder="1"/>
    <xf numFmtId="37" fontId="2" fillId="0" borderId="1" xfId="0" applyNumberFormat="1" applyFont="1" applyBorder="1"/>
    <xf numFmtId="37" fontId="2" fillId="0" borderId="2" xfId="0" applyNumberFormat="1" applyFont="1" applyBorder="1"/>
    <xf numFmtId="37" fontId="2" fillId="0" borderId="5" xfId="0" applyNumberFormat="1" applyFont="1" applyBorder="1"/>
    <xf numFmtId="37" fontId="2" fillId="0" borderId="6" xfId="0" applyNumberFormat="1" applyFont="1" applyBorder="1"/>
    <xf numFmtId="37" fontId="2" fillId="0" borderId="3" xfId="0" applyNumberFormat="1" applyFont="1" applyBorder="1"/>
    <xf numFmtId="37" fontId="2" fillId="0" borderId="4" xfId="0" applyNumberFormat="1" applyFont="1" applyBorder="1"/>
    <xf numFmtId="37" fontId="2" fillId="0" borderId="10" xfId="0" applyNumberFormat="1" applyFont="1" applyBorder="1"/>
    <xf numFmtId="0" fontId="14" fillId="2" borderId="0" xfId="27" applyNumberFormat="1" applyAlignment="1">
      <alignment horizontal="left"/>
    </xf>
    <xf numFmtId="37" fontId="2" fillId="0" borderId="8" xfId="0" applyNumberFormat="1" applyFont="1" applyBorder="1"/>
    <xf numFmtId="0" fontId="0" fillId="0" borderId="0" xfId="0" applyNumberFormat="1" applyAlignment="1"/>
    <xf numFmtId="0" fontId="15" fillId="0" borderId="0" xfId="0" applyNumberFormat="1" applyFont="1" applyAlignment="1"/>
    <xf numFmtId="37" fontId="16" fillId="0" borderId="31" xfId="0" applyNumberFormat="1" applyFont="1" applyBorder="1" applyAlignment="1">
      <alignment horizontal="center"/>
    </xf>
    <xf numFmtId="37" fontId="16" fillId="0" borderId="21" xfId="0" applyNumberFormat="1" applyFont="1" applyBorder="1" applyAlignment="1">
      <alignment horizontal="center"/>
    </xf>
    <xf numFmtId="37" fontId="16" fillId="0" borderId="32" xfId="0" applyNumberFormat="1" applyFont="1" applyBorder="1" applyAlignment="1">
      <alignment horizontal="center" vertical="center"/>
    </xf>
    <xf numFmtId="37" fontId="16" fillId="0" borderId="33" xfId="0" applyNumberFormat="1" applyFont="1" applyBorder="1" applyAlignment="1">
      <alignment horizontal="center" vertical="center"/>
    </xf>
    <xf numFmtId="0" fontId="16" fillId="0" borderId="0" xfId="0" applyFont="1" applyAlignment="1"/>
    <xf numFmtId="0" fontId="16" fillId="0" borderId="0" xfId="0" applyNumberFormat="1" applyFont="1" applyAlignment="1"/>
    <xf numFmtId="37" fontId="8" fillId="0" borderId="34" xfId="0" applyNumberFormat="1" applyFont="1" applyBorder="1" applyAlignment="1">
      <alignment horizontal="center" vertical="center"/>
    </xf>
    <xf numFmtId="37" fontId="8" fillId="0" borderId="2" xfId="0" applyNumberFormat="1" applyFont="1" applyBorder="1" applyAlignment="1">
      <alignment horizontal="center" vertical="center"/>
    </xf>
    <xf numFmtId="37" fontId="8" fillId="0" borderId="7" xfId="0" applyNumberFormat="1" applyFont="1" applyBorder="1" applyAlignment="1">
      <alignment horizontal="center" vertical="center"/>
    </xf>
    <xf numFmtId="37" fontId="0" fillId="0" borderId="35" xfId="0" applyNumberFormat="1" applyBorder="1" applyAlignment="1">
      <alignment horizontal="center" vertical="center"/>
    </xf>
    <xf numFmtId="37" fontId="9" fillId="0" borderId="35" xfId="0" applyNumberFormat="1" applyFont="1" applyBorder="1" applyAlignment="1">
      <alignment horizontal="center" vertical="center"/>
    </xf>
    <xf numFmtId="37" fontId="0" fillId="0" borderId="36" xfId="0" applyNumberFormat="1" applyBorder="1" applyAlignment="1">
      <alignment horizontal="center" vertical="center"/>
    </xf>
    <xf numFmtId="37" fontId="8" fillId="0" borderId="32" xfId="0" applyNumberFormat="1" applyFont="1" applyBorder="1" applyAlignment="1">
      <alignment horizontal="center" vertical="center"/>
    </xf>
    <xf numFmtId="37" fontId="16" fillId="0" borderId="37" xfId="0" applyNumberFormat="1" applyFont="1" applyBorder="1" applyAlignment="1">
      <alignment horizontal="center" vertical="center"/>
    </xf>
    <xf numFmtId="3" fontId="8" fillId="0" borderId="14" xfId="0" applyNumberFormat="1" applyFont="1" applyBorder="1" applyAlignment="1">
      <alignment horizontal="center"/>
    </xf>
    <xf numFmtId="3" fontId="8" fillId="0" borderId="12" xfId="0" applyNumberFormat="1" applyFont="1" applyBorder="1" applyAlignment="1">
      <alignment horizontal="center"/>
    </xf>
    <xf numFmtId="37" fontId="8" fillId="0" borderId="38" xfId="0" applyNumberFormat="1" applyFont="1" applyBorder="1" applyAlignment="1">
      <alignment horizontal="center" vertical="center"/>
    </xf>
    <xf numFmtId="37" fontId="8" fillId="0" borderId="39" xfId="0" applyNumberFormat="1" applyFont="1" applyBorder="1" applyAlignment="1">
      <alignment horizontal="center" vertical="center"/>
    </xf>
    <xf numFmtId="37" fontId="8" fillId="0" borderId="22" xfId="0" applyNumberFormat="1" applyFont="1" applyBorder="1" applyAlignment="1">
      <alignment horizontal="center" vertical="center"/>
    </xf>
    <xf numFmtId="37" fontId="8" fillId="0" borderId="40" xfId="0" applyNumberFormat="1" applyFont="1" applyBorder="1" applyAlignment="1">
      <alignment horizontal="center"/>
    </xf>
    <xf numFmtId="37" fontId="8" fillId="0" borderId="39" xfId="0" applyNumberFormat="1" applyFont="1" applyBorder="1" applyAlignment="1">
      <alignment horizontal="center"/>
    </xf>
    <xf numFmtId="37" fontId="8" fillId="0" borderId="22" xfId="0" applyNumberFormat="1" applyFont="1" applyBorder="1" applyAlignment="1">
      <alignment horizontal="center"/>
    </xf>
    <xf numFmtId="37" fontId="8" fillId="0" borderId="41" xfId="0" applyNumberFormat="1" applyFont="1" applyBorder="1" applyAlignment="1">
      <alignment horizontal="center" vertical="center"/>
    </xf>
    <xf numFmtId="37" fontId="16" fillId="0" borderId="41" xfId="0" applyNumberFormat="1" applyFont="1" applyBorder="1" applyAlignment="1">
      <alignment horizontal="center" vertical="center"/>
    </xf>
    <xf numFmtId="37" fontId="16" fillId="0" borderId="42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37" fontId="17" fillId="0" borderId="16" xfId="0" applyNumberFormat="1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37" fontId="8" fillId="0" borderId="12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7" fillId="0" borderId="13" xfId="0" applyFont="1" applyFill="1" applyBorder="1" applyAlignment="1">
      <alignment horizontal="center"/>
    </xf>
    <xf numFmtId="37" fontId="8" fillId="0" borderId="13" xfId="0" applyNumberFormat="1" applyFont="1" applyFill="1" applyBorder="1" applyAlignment="1">
      <alignment horizontal="center"/>
    </xf>
    <xf numFmtId="37" fontId="8" fillId="0" borderId="12" xfId="0" applyNumberFormat="1" applyFont="1" applyFill="1" applyBorder="1" applyAlignment="1">
      <alignment horizontal="center"/>
    </xf>
    <xf numFmtId="0" fontId="0" fillId="0" borderId="0" xfId="0" applyNumberFormat="1" applyFont="1" applyFill="1" applyAlignment="1"/>
    <xf numFmtId="0" fontId="8" fillId="0" borderId="13" xfId="0" applyFont="1" applyFill="1" applyBorder="1" applyAlignment="1">
      <alignment horizontal="center"/>
    </xf>
    <xf numFmtId="37" fontId="8" fillId="0" borderId="1" xfId="0" applyNumberFormat="1" applyFont="1" applyFill="1" applyBorder="1" applyAlignment="1">
      <alignment horizontal="center"/>
    </xf>
    <xf numFmtId="37" fontId="8" fillId="0" borderId="43" xfId="0" applyNumberFormat="1" applyFont="1" applyFill="1" applyBorder="1" applyAlignment="1">
      <alignment horizontal="center"/>
    </xf>
    <xf numFmtId="37" fontId="8" fillId="0" borderId="2" xfId="0" applyNumberFormat="1" applyFont="1" applyFill="1" applyBorder="1" applyAlignment="1">
      <alignment horizontal="center"/>
    </xf>
    <xf numFmtId="37" fontId="8" fillId="0" borderId="7" xfId="0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37" fontId="8" fillId="0" borderId="28" xfId="0" applyNumberFormat="1" applyFont="1" applyFill="1" applyBorder="1" applyAlignment="1">
      <alignment horizontal="center"/>
    </xf>
    <xf numFmtId="37" fontId="8" fillId="0" borderId="44" xfId="0" applyNumberFormat="1" applyFont="1" applyFill="1" applyBorder="1" applyAlignment="1">
      <alignment horizontal="center"/>
    </xf>
    <xf numFmtId="37" fontId="8" fillId="0" borderId="4" xfId="0" applyNumberFormat="1" applyFont="1" applyFill="1" applyBorder="1" applyAlignment="1">
      <alignment horizontal="center"/>
    </xf>
    <xf numFmtId="37" fontId="8" fillId="0" borderId="45" xfId="0" applyNumberFormat="1" applyFont="1" applyFill="1" applyBorder="1" applyAlignment="1">
      <alignment horizontal="center"/>
    </xf>
    <xf numFmtId="37" fontId="8" fillId="0" borderId="16" xfId="0" applyNumberFormat="1" applyFont="1" applyFill="1" applyBorder="1" applyAlignment="1">
      <alignment horizontal="center"/>
    </xf>
    <xf numFmtId="3" fontId="8" fillId="0" borderId="0" xfId="0" applyNumberFormat="1" applyFont="1" applyBorder="1" applyAlignment="1">
      <alignment horizontal="center"/>
    </xf>
    <xf numFmtId="3" fontId="8" fillId="0" borderId="15" xfId="0" applyNumberFormat="1" applyFont="1" applyBorder="1" applyAlignment="1">
      <alignment horizontal="center"/>
    </xf>
    <xf numFmtId="37" fontId="8" fillId="0" borderId="6" xfId="0" applyNumberFormat="1" applyFont="1" applyFill="1" applyBorder="1" applyAlignment="1">
      <alignment horizontal="center"/>
    </xf>
    <xf numFmtId="37" fontId="8" fillId="0" borderId="46" xfId="0" applyNumberFormat="1" applyFont="1" applyFill="1" applyBorder="1" applyAlignment="1">
      <alignment horizontal="center"/>
    </xf>
    <xf numFmtId="3" fontId="8" fillId="0" borderId="13" xfId="0" applyNumberFormat="1" applyFont="1" applyBorder="1" applyAlignment="1">
      <alignment horizontal="center"/>
    </xf>
    <xf numFmtId="37" fontId="8" fillId="0" borderId="47" xfId="0" applyNumberFormat="1" applyFont="1" applyFill="1" applyBorder="1" applyAlignment="1">
      <alignment horizontal="center"/>
    </xf>
    <xf numFmtId="37" fontId="8" fillId="0" borderId="26" xfId="0" applyNumberFormat="1" applyFont="1" applyFill="1" applyBorder="1" applyAlignment="1">
      <alignment horizontal="center"/>
    </xf>
    <xf numFmtId="37" fontId="8" fillId="0" borderId="17" xfId="0" applyNumberFormat="1" applyFont="1" applyFill="1" applyBorder="1" applyAlignment="1">
      <alignment horizontal="center"/>
    </xf>
    <xf numFmtId="37" fontId="8" fillId="0" borderId="23" xfId="0" applyNumberFormat="1" applyFont="1" applyFill="1" applyBorder="1" applyAlignment="1">
      <alignment horizontal="center"/>
    </xf>
    <xf numFmtId="37" fontId="8" fillId="0" borderId="48" xfId="0" applyNumberFormat="1" applyFont="1" applyFill="1" applyBorder="1" applyAlignment="1">
      <alignment horizontal="center"/>
    </xf>
    <xf numFmtId="37" fontId="8" fillId="0" borderId="49" xfId="0" applyNumberFormat="1" applyFont="1" applyFill="1" applyBorder="1" applyAlignment="1">
      <alignment horizontal="center"/>
    </xf>
    <xf numFmtId="0" fontId="8" fillId="0" borderId="18" xfId="0" applyFont="1" applyFill="1" applyBorder="1" applyAlignment="1">
      <alignment horizontal="center"/>
    </xf>
    <xf numFmtId="37" fontId="8" fillId="0" borderId="18" xfId="0" applyNumberFormat="1" applyFont="1" applyFill="1" applyBorder="1" applyAlignment="1">
      <alignment horizontal="center"/>
    </xf>
    <xf numFmtId="37" fontId="8" fillId="0" borderId="50" xfId="0" applyNumberFormat="1" applyFont="1" applyFill="1" applyBorder="1" applyAlignment="1">
      <alignment horizontal="center"/>
    </xf>
    <xf numFmtId="37" fontId="8" fillId="0" borderId="13" xfId="0" applyNumberFormat="1" applyFont="1" applyBorder="1" applyAlignment="1">
      <alignment horizontal="center"/>
    </xf>
    <xf numFmtId="37" fontId="0" fillId="0" borderId="0" xfId="0" applyNumberFormat="1" applyFont="1" applyFill="1" applyAlignment="1">
      <alignment horizontal="center"/>
    </xf>
    <xf numFmtId="0" fontId="8" fillId="0" borderId="18" xfId="0" applyFont="1" applyBorder="1" applyAlignment="1">
      <alignment horizontal="center"/>
    </xf>
    <xf numFmtId="3" fontId="8" fillId="0" borderId="18" xfId="0" applyNumberFormat="1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3" fontId="8" fillId="0" borderId="50" xfId="0" applyNumberFormat="1" applyFont="1" applyBorder="1" applyAlignment="1">
      <alignment horizontal="center"/>
    </xf>
    <xf numFmtId="37" fontId="8" fillId="0" borderId="43" xfId="0" applyNumberFormat="1" applyFont="1" applyBorder="1" applyAlignment="1">
      <alignment horizontal="center"/>
    </xf>
    <xf numFmtId="37" fontId="8" fillId="0" borderId="1" xfId="0" applyNumberFormat="1" applyFont="1" applyBorder="1" applyAlignment="1">
      <alignment horizontal="center"/>
    </xf>
    <xf numFmtId="37" fontId="0" fillId="0" borderId="43" xfId="0" applyNumberFormat="1" applyBorder="1" applyAlignment="1">
      <alignment horizontal="center"/>
    </xf>
    <xf numFmtId="37" fontId="8" fillId="0" borderId="2" xfId="0" applyNumberFormat="1" applyFont="1" applyBorder="1" applyAlignment="1">
      <alignment horizontal="center"/>
    </xf>
    <xf numFmtId="37" fontId="8" fillId="0" borderId="7" xfId="0" applyNumberFormat="1" applyFont="1" applyBorder="1" applyAlignment="1">
      <alignment horizontal="center"/>
    </xf>
    <xf numFmtId="37" fontId="8" fillId="0" borderId="47" xfId="0" applyNumberFormat="1" applyFont="1" applyBorder="1" applyAlignment="1">
      <alignment horizontal="center"/>
    </xf>
    <xf numFmtId="37" fontId="8" fillId="0" borderId="26" xfId="0" applyNumberFormat="1" applyFont="1" applyBorder="1" applyAlignment="1">
      <alignment horizontal="center"/>
    </xf>
    <xf numFmtId="37" fontId="8" fillId="0" borderId="51" xfId="0" applyNumberFormat="1" applyFont="1" applyBorder="1" applyAlignment="1">
      <alignment horizontal="center"/>
    </xf>
    <xf numFmtId="37" fontId="8" fillId="0" borderId="46" xfId="0" applyNumberFormat="1" applyFont="1" applyBorder="1" applyAlignment="1">
      <alignment horizontal="center"/>
    </xf>
    <xf numFmtId="37" fontId="8" fillId="0" borderId="0" xfId="0" applyNumberFormat="1" applyFont="1" applyBorder="1" applyAlignment="1">
      <alignment horizontal="center"/>
    </xf>
    <xf numFmtId="37" fontId="8" fillId="0" borderId="44" xfId="0" applyNumberFormat="1" applyFont="1" applyBorder="1" applyAlignment="1">
      <alignment horizontal="center"/>
    </xf>
    <xf numFmtId="37" fontId="8" fillId="0" borderId="28" xfId="0" applyNumberFormat="1" applyFont="1" applyBorder="1" applyAlignment="1">
      <alignment horizontal="center"/>
    </xf>
    <xf numFmtId="37" fontId="8" fillId="0" borderId="52" xfId="0" applyNumberFormat="1" applyFont="1" applyBorder="1" applyAlignment="1">
      <alignment horizontal="center"/>
    </xf>
    <xf numFmtId="37" fontId="8" fillId="0" borderId="45" xfId="0" applyNumberFormat="1" applyFont="1" applyBorder="1" applyAlignment="1">
      <alignment horizontal="center"/>
    </xf>
    <xf numFmtId="37" fontId="8" fillId="0" borderId="10" xfId="0" applyNumberFormat="1" applyFont="1" applyBorder="1" applyAlignment="1">
      <alignment horizontal="center"/>
    </xf>
    <xf numFmtId="37" fontId="8" fillId="0" borderId="0" xfId="0" applyNumberFormat="1" applyFont="1" applyAlignment="1">
      <alignment horizontal="center"/>
    </xf>
    <xf numFmtId="37" fontId="8" fillId="0" borderId="20" xfId="0" applyNumberFormat="1" applyFont="1" applyBorder="1" applyAlignment="1">
      <alignment horizontal="center"/>
    </xf>
    <xf numFmtId="37" fontId="8" fillId="0" borderId="24" xfId="0" applyNumberFormat="1" applyFont="1" applyBorder="1" applyAlignment="1">
      <alignment horizontal="center"/>
    </xf>
    <xf numFmtId="37" fontId="18" fillId="0" borderId="0" xfId="0" applyNumberFormat="1" applyFont="1"/>
    <xf numFmtId="37" fontId="8" fillId="0" borderId="14" xfId="0" applyNumberFormat="1" applyFont="1" applyBorder="1" applyAlignment="1">
      <alignment horizontal="center"/>
    </xf>
    <xf numFmtId="37" fontId="13" fillId="0" borderId="0" xfId="0" applyNumberFormat="1" applyFont="1"/>
    <xf numFmtId="0" fontId="2" fillId="0" borderId="0" xfId="0" applyNumberFormat="1" applyFont="1" applyFill="1" applyAlignment="1"/>
    <xf numFmtId="37" fontId="9" fillId="0" borderId="0" xfId="0" applyNumberFormat="1" applyFont="1" applyFill="1" applyAlignment="1">
      <alignment horizontal="center"/>
    </xf>
    <xf numFmtId="0" fontId="9" fillId="0" borderId="0" xfId="0" applyNumberFormat="1" applyFont="1" applyFill="1" applyAlignment="1"/>
    <xf numFmtId="37" fontId="2" fillId="0" borderId="0" xfId="0" applyNumberFormat="1" applyFont="1" applyFill="1" applyAlignment="1"/>
    <xf numFmtId="37" fontId="2" fillId="0" borderId="7" xfId="0" applyNumberFormat="1" applyFont="1" applyFill="1" applyBorder="1" applyAlignment="1"/>
    <xf numFmtId="37" fontId="2" fillId="0" borderId="1" xfId="0" applyNumberFormat="1" applyFont="1" applyFill="1" applyBorder="1" applyAlignment="1"/>
    <xf numFmtId="37" fontId="2" fillId="0" borderId="2" xfId="0" applyNumberFormat="1" applyFont="1" applyFill="1" applyBorder="1" applyAlignment="1"/>
    <xf numFmtId="37" fontId="2" fillId="0" borderId="3" xfId="0" applyNumberFormat="1" applyFont="1" applyFill="1" applyBorder="1" applyAlignment="1"/>
    <xf numFmtId="37" fontId="2" fillId="0" borderId="4" xfId="0" applyNumberFormat="1" applyFont="1" applyFill="1" applyBorder="1" applyAlignment="1"/>
    <xf numFmtId="37" fontId="0" fillId="0" borderId="4" xfId="0" applyNumberFormat="1" applyBorder="1"/>
    <xf numFmtId="37" fontId="2" fillId="0" borderId="8" xfId="0" applyNumberFormat="1" applyFont="1" applyFill="1" applyBorder="1" applyAlignment="1"/>
    <xf numFmtId="0" fontId="9" fillId="0" borderId="0" xfId="0" applyNumberFormat="1" applyFont="1" applyAlignment="1">
      <alignment horizontal="center" vertical="center"/>
    </xf>
    <xf numFmtId="37" fontId="9" fillId="0" borderId="0" xfId="0" applyNumberFormat="1" applyFont="1" applyAlignment="1">
      <alignment horizontal="center" vertical="center"/>
    </xf>
    <xf numFmtId="0" fontId="14" fillId="2" borderId="0" xfId="27" applyNumberFormat="1" applyAlignment="1"/>
    <xf numFmtId="37" fontId="2" fillId="0" borderId="0" xfId="0" applyNumberFormat="1" applyFont="1" applyAlignment="1">
      <alignment horizontal="left"/>
    </xf>
    <xf numFmtId="37" fontId="2" fillId="0" borderId="7" xfId="0" applyNumberFormat="1" applyFont="1" applyBorder="1" applyAlignment="1">
      <alignment horizontal="left" vertical="top"/>
    </xf>
    <xf numFmtId="37" fontId="2" fillId="0" borderId="7" xfId="0" applyNumberFormat="1" applyFont="1" applyBorder="1" applyAlignment="1">
      <alignment horizontal="left"/>
    </xf>
    <xf numFmtId="37" fontId="2" fillId="0" borderId="0" xfId="0" applyNumberFormat="1" applyFont="1" applyAlignment="1">
      <alignment horizontal="left" vertical="top"/>
    </xf>
    <xf numFmtId="37" fontId="2" fillId="0" borderId="1" xfId="0" applyNumberFormat="1" applyFont="1" applyBorder="1" applyAlignment="1">
      <alignment horizontal="left"/>
    </xf>
    <xf numFmtId="37" fontId="2" fillId="0" borderId="2" xfId="0" applyNumberFormat="1" applyFont="1" applyBorder="1" applyAlignment="1">
      <alignment horizontal="left"/>
    </xf>
    <xf numFmtId="37" fontId="2" fillId="0" borderId="5" xfId="0" applyNumberFormat="1" applyFont="1" applyBorder="1" applyAlignment="1">
      <alignment horizontal="left"/>
    </xf>
    <xf numFmtId="37" fontId="2" fillId="0" borderId="6" xfId="0" applyNumberFormat="1" applyFont="1" applyBorder="1" applyAlignment="1">
      <alignment horizontal="left"/>
    </xf>
    <xf numFmtId="37" fontId="2" fillId="0" borderId="3" xfId="0" applyNumberFormat="1" applyFont="1" applyBorder="1" applyAlignment="1">
      <alignment horizontal="left"/>
    </xf>
    <xf numFmtId="37" fontId="2" fillId="0" borderId="4" xfId="0" applyNumberFormat="1" applyFont="1" applyBorder="1" applyAlignment="1">
      <alignment horizontal="left"/>
    </xf>
    <xf numFmtId="0" fontId="0" fillId="0" borderId="0" xfId="0" applyFill="1"/>
    <xf numFmtId="37" fontId="2" fillId="0" borderId="8" xfId="0" applyNumberFormat="1" applyFont="1" applyBorder="1" applyAlignment="1">
      <alignment horizontal="left"/>
    </xf>
    <xf numFmtId="39" fontId="2" fillId="0" borderId="11" xfId="0" applyNumberFormat="1" applyFont="1" applyBorder="1" applyAlignment="1">
      <alignment horizontal="left"/>
    </xf>
    <xf numFmtId="39" fontId="2" fillId="0" borderId="0" xfId="0" applyNumberFormat="1" applyFont="1" applyAlignment="1">
      <alignment horizontal="left"/>
    </xf>
    <xf numFmtId="37" fontId="8" fillId="0" borderId="16" xfId="0" applyNumberFormat="1" applyFont="1" applyBorder="1" applyAlignment="1">
      <alignment horizontal="left"/>
    </xf>
    <xf numFmtId="37" fontId="8" fillId="0" borderId="13" xfId="0" applyNumberFormat="1" applyFont="1" applyBorder="1" applyAlignment="1">
      <alignment horizontal="left"/>
    </xf>
    <xf numFmtId="37" fontId="8" fillId="0" borderId="12" xfId="0" applyNumberFormat="1" applyFont="1" applyBorder="1" applyAlignment="1">
      <alignment horizontal="left"/>
    </xf>
    <xf numFmtId="37" fontId="8" fillId="0" borderId="19" xfId="0" applyNumberFormat="1" applyFont="1" applyBorder="1" applyAlignment="1">
      <alignment horizontal="left"/>
    </xf>
    <xf numFmtId="37" fontId="8" fillId="0" borderId="48" xfId="0" applyNumberFormat="1" applyFont="1" applyBorder="1" applyAlignment="1">
      <alignment horizontal="left"/>
    </xf>
    <xf numFmtId="37" fontId="2" fillId="3" borderId="7" xfId="0" applyNumberFormat="1" applyFont="1" applyFill="1" applyBorder="1" applyAlignment="1">
      <alignment horizontal="left"/>
    </xf>
    <xf numFmtId="37" fontId="2" fillId="3" borderId="36" xfId="0" applyNumberFormat="1" applyFont="1" applyFill="1" applyBorder="1" applyAlignment="1">
      <alignment horizontal="left"/>
    </xf>
    <xf numFmtId="0" fontId="14" fillId="2" borderId="0" xfId="27" applyNumberFormat="1" applyAlignment="1">
      <alignment horizontal="center"/>
    </xf>
    <xf numFmtId="37" fontId="2" fillId="0" borderId="36" xfId="0" applyNumberFormat="1" applyFont="1" applyBorder="1" applyAlignment="1">
      <alignment horizontal="left"/>
    </xf>
    <xf numFmtId="37" fontId="2" fillId="0" borderId="10" xfId="0" applyNumberFormat="1" applyFont="1" applyBorder="1" applyAlignment="1">
      <alignment horizontal="left"/>
    </xf>
    <xf numFmtId="0" fontId="0" fillId="0" borderId="0" xfId="0" applyNumberFormat="1" applyAlignment="1">
      <alignment horizontal="center"/>
    </xf>
    <xf numFmtId="37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3" fillId="0" borderId="0" xfId="10" applyAlignment="1">
      <alignment horizontal="center"/>
    </xf>
    <xf numFmtId="0" fontId="19" fillId="0" borderId="0" xfId="0" applyFont="1"/>
    <xf numFmtId="0" fontId="13" fillId="4" borderId="53" xfId="14" applyNumberFormat="1" applyFont="1" applyFill="1" applyAlignment="1"/>
    <xf numFmtId="0" fontId="20" fillId="5" borderId="53" xfId="36" applyNumberFormat="1" applyFont="1" applyBorder="1" applyAlignment="1">
      <alignment horizontal="center" vertical="center"/>
    </xf>
    <xf numFmtId="37" fontId="14" fillId="6" borderId="0" xfId="35" applyNumberFormat="1" applyAlignment="1">
      <alignment horizontal="center" vertical="center"/>
    </xf>
    <xf numFmtId="0" fontId="0" fillId="0" borderId="0" xfId="0"/>
    <xf numFmtId="179" fontId="14" fillId="7" borderId="0" xfId="31" applyNumberFormat="1" applyAlignment="1"/>
    <xf numFmtId="0" fontId="21" fillId="2" borderId="0" xfId="27" applyNumberFormat="1" applyFont="1" applyAlignment="1">
      <alignment horizontal="center" vertical="center"/>
    </xf>
    <xf numFmtId="9" fontId="0" fillId="0" borderId="0" xfId="0" applyNumberFormat="1"/>
    <xf numFmtId="10" fontId="0" fillId="0" borderId="0" xfId="0" applyNumberFormat="1"/>
    <xf numFmtId="0" fontId="14" fillId="8" borderId="0" xfId="26" applyNumberFormat="1" applyAlignment="1"/>
    <xf numFmtId="0" fontId="0" fillId="0" borderId="0" xfId="0" applyAlignment="1">
      <alignment horizontal="center" vertical="center"/>
    </xf>
    <xf numFmtId="0" fontId="21" fillId="9" borderId="0" xfId="39" applyFont="1" applyAlignment="1"/>
    <xf numFmtId="37" fontId="17" fillId="0" borderId="0" xfId="0" applyNumberFormat="1" applyFont="1" applyBorder="1" applyAlignment="1">
      <alignment horizontal="center"/>
    </xf>
    <xf numFmtId="37" fontId="8" fillId="0" borderId="0" xfId="0" applyNumberFormat="1" applyFont="1" applyBorder="1" applyAlignment="1">
      <alignment horizontal="left"/>
    </xf>
    <xf numFmtId="0" fontId="0" fillId="0" borderId="0" xfId="0" applyNumberFormat="1" applyBorder="1"/>
    <xf numFmtId="10" fontId="0" fillId="0" borderId="0" xfId="0" applyNumberFormat="1" applyFill="1"/>
    <xf numFmtId="10" fontId="14" fillId="3" borderId="0" xfId="31" applyNumberFormat="1" applyFill="1" applyAlignment="1"/>
    <xf numFmtId="0" fontId="21" fillId="3" borderId="0" xfId="39" applyFont="1" applyFill="1" applyAlignment="1"/>
    <xf numFmtId="0" fontId="22" fillId="5" borderId="0" xfId="36" applyFont="1"/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5" fillId="0" borderId="0" xfId="0" applyNumberFormat="1" applyFont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2">
    <dxf>
      <numFmt numFmtId="0" formatCode="General"/>
    </dxf>
    <dxf>
      <numFmt numFmtId="0" formatCode="General"/>
    </dxf>
    <dxf>
      <numFmt numFmtId="37" formatCode="#,##0_);\(#,##0\)"/>
    </dxf>
    <dxf>
      <numFmt numFmtId="37" formatCode="#,##0_);\(#,##0\)"/>
    </dxf>
    <dxf>
      <font>
        <name val="Arial"/>
        <scheme val="none"/>
        <charset val="134"/>
        <family val="0"/>
        <b val="0"/>
        <i val="0"/>
        <strike val="0"/>
        <u val="none"/>
        <sz val="12"/>
        <color theme="1"/>
      </font>
      <numFmt numFmtId="0" formatCode="General"/>
    </dxf>
    <dxf>
      <font>
        <name val="Arial"/>
        <scheme val="none"/>
        <charset val="134"/>
        <family val="0"/>
        <b val="0"/>
        <i val="0"/>
        <strike val="0"/>
        <u val="none"/>
        <sz val="12"/>
        <color theme="1"/>
      </font>
      <numFmt numFmtId="0" formatCode="General"/>
    </dxf>
    <dxf>
      <numFmt numFmtId="37" formatCode="#,##0_);\(#,##0\)"/>
    </dxf>
    <dxf>
      <numFmt numFmtId="37" formatCode="#,##0_);\(#,##0\)"/>
    </dxf>
    <dxf>
      <font>
        <name val="Arial"/>
        <scheme val="none"/>
        <charset val="134"/>
        <family val="0"/>
        <b val="0"/>
        <i val="0"/>
        <strike val="0"/>
        <u val="none"/>
        <sz val="12"/>
        <color theme="1"/>
      </font>
      <numFmt numFmtId="0" formatCode="General"/>
      <fill>
        <patternFill patternType="none"/>
      </fill>
    </dxf>
    <dxf>
      <numFmt numFmtId="37" formatCode="#,##0_);\(#,##0\)"/>
    </dxf>
    <dxf>
      <numFmt numFmtId="37" formatCode="#,##0_);\(#,##0\)"/>
    </dxf>
    <dxf>
      <font>
        <name val="Arial"/>
        <scheme val="none"/>
        <charset val="134"/>
        <family val="0"/>
        <b val="0"/>
        <i val="0"/>
        <strike val="0"/>
        <u val="none"/>
        <sz val="12"/>
        <color rgb="FF000000"/>
      </font>
      <alignment horizontal="center"/>
      <border>
        <left style="medium">
          <color rgb="FFEAEAEA"/>
        </left>
        <right/>
        <top style="medium">
          <color rgb="FFEAEAEA"/>
        </top>
        <bottom/>
      </border>
    </dxf>
    <dxf>
      <numFmt numFmtId="37" formatCode="#,##0_);\(#,##0\)"/>
    </dxf>
    <dxf>
      <numFmt numFmtId="37" formatCode="#,##0_);\(#,##0\)"/>
    </dxf>
    <dxf>
      <numFmt numFmtId="37" formatCode="#,##0_);\(#,##0\)"/>
    </dxf>
    <dxf>
      <numFmt numFmtId="37" formatCode="#,##0_);\(#,##0\)"/>
    </dxf>
    <dxf>
      <numFmt numFmtId="37" formatCode="#,##0_);\(#,##0\)"/>
    </dxf>
    <dxf>
      <numFmt numFmtId="37" formatCode="#,##0_);\(#,##0\)"/>
    </dxf>
    <dxf>
      <numFmt numFmtId="37" formatCode="#,##0_);\(#,##0\)"/>
    </dxf>
    <dxf>
      <numFmt numFmtId="37" formatCode="#,##0_);\(#,##0\)"/>
    </dxf>
    <dxf>
      <numFmt numFmtId="37" formatCode="#,##0_);\(#,##0\)"/>
    </dxf>
    <dxf>
      <numFmt numFmtId="37" formatCode="#,##0_);\(#,##0\)"/>
    </dxf>
    <dxf>
      <numFmt numFmtId="0" formatCode="General"/>
    </dxf>
    <dxf>
      <numFmt numFmtId="0" formatCode="General"/>
    </dxf>
    <dxf>
      <numFmt numFmtId="0" formatCode="General"/>
    </dxf>
    <dxf>
      <font>
        <name val="Arial"/>
        <scheme val="none"/>
        <charset val="134"/>
        <family val="0"/>
        <b val="0"/>
        <i val="0"/>
        <strike val="0"/>
        <u val="none"/>
        <sz val="12"/>
        <color theme="1"/>
      </font>
      <numFmt numFmtId="0" formatCode="General"/>
      <alignment horizontal="left"/>
    </dxf>
    <dxf>
      <numFmt numFmtId="37" formatCode="#,##0_);\(#,##0\)"/>
    </dxf>
    <dxf>
      <numFmt numFmtId="37" formatCode="#,##0_);\(#,##0\)"/>
    </dxf>
    <dxf>
      <numFmt numFmtId="0" formatCode="General"/>
    </dxf>
    <dxf>
      <numFmt numFmtId="0" formatCode="General"/>
    </dxf>
    <dxf>
      <numFmt numFmtId="37" formatCode="#,##0_);\(#,##0\)"/>
    </dxf>
    <dxf>
      <numFmt numFmtId="37" formatCode="#,##0_);\(#,##0\)"/>
    </dxf>
  </dxfs>
  <tableStyles count="0" defaultTableStyle="TableStyleMedium9" defaultPivotStyle="PivotStyleMedium4"/>
  <colors>
    <mruColors>
      <color rgb="00E8E8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'Dashboard '!$A$29:$A$38</c:f>
              <c:strCache>
                <c:ptCount val="10"/>
                <c:pt idx="0">
                  <c:v>Cash and balances with treasury banks</c:v>
                </c:pt>
                <c:pt idx="1">
                  <c:v>Balances with other banks</c:v>
                </c:pt>
                <c:pt idx="2">
                  <c:v>Lendings to financial institutions</c:v>
                </c:pt>
                <c:pt idx="3">
                  <c:v>Investments</c:v>
                </c:pt>
                <c:pt idx="4">
                  <c:v>Advances</c:v>
                </c:pt>
                <c:pt idx="5">
                  <c:v>Property and Equipment</c:v>
                </c:pt>
                <c:pt idx="6">
                  <c:v>Right-of-use of assets</c:v>
                </c:pt>
                <c:pt idx="7">
                  <c:v>Intangible assets</c:v>
                </c:pt>
                <c:pt idx="8">
                  <c:v>Deferred tax assets</c:v>
                </c:pt>
                <c:pt idx="9">
                  <c:v>Other assets</c:v>
                </c:pt>
              </c:strCache>
            </c:strRef>
          </c:cat>
          <c:val>
            <c:numRef>
              <c:f>'Dashboard '!$B$29:$B$38</c:f>
              <c:numCache>
                <c:formatCode>#,##0_);\(#,##0\)</c:formatCode>
                <c:ptCount val="10"/>
                <c:pt idx="0">
                  <c:v>310836376</c:v>
                </c:pt>
                <c:pt idx="1">
                  <c:v>59968246</c:v>
                </c:pt>
                <c:pt idx="2">
                  <c:v>18492483</c:v>
                </c:pt>
                <c:pt idx="3">
                  <c:v>5889765841</c:v>
                </c:pt>
                <c:pt idx="4">
                  <c:v>1443481944</c:v>
                </c:pt>
                <c:pt idx="5">
                  <c:v>85591999</c:v>
                </c:pt>
                <c:pt idx="6">
                  <c:v>10231121</c:v>
                </c:pt>
                <c:pt idx="7">
                  <c:v>2792016</c:v>
                </c:pt>
                <c:pt idx="9">
                  <c:v>247937251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510e62-e802-4497-9557-671c992f9b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'Dashboard '!$A$60:$A$65</c:f>
              <c:strCache>
                <c:ptCount val="6"/>
                <c:pt idx="0">
                  <c:v>Growth Comparison</c:v>
                </c:pt>
                <c:pt idx="1">
                  <c:v>Total Assets</c:v>
                </c:pt>
                <c:pt idx="2">
                  <c:v>Net Advances</c:v>
                </c:pt>
                <c:pt idx="3">
                  <c:v>Total Deposits</c:v>
                </c:pt>
                <c:pt idx="4">
                  <c:v>Profit After Taxation</c:v>
                </c:pt>
                <c:pt idx="5">
                  <c:v>Net Mark-up / Interest Income</c:v>
                </c:pt>
              </c:strCache>
            </c:strRef>
          </c:cat>
          <c:val>
            <c:numRef>
              <c:f>'Dashboard '!$B$60:$B$65</c:f>
              <c:numCache>
                <c:formatCode>General</c:formatCode>
                <c:ptCount val="6"/>
                <c:pt idx="1" c:formatCode="0.00%">
                  <c:v>0.366560806951768</c:v>
                </c:pt>
                <c:pt idx="2" c:formatCode="0.00%">
                  <c:v>0.655291501844319</c:v>
                </c:pt>
                <c:pt idx="3" c:formatCode="0.00%">
                  <c:v>0.00195842086974121</c:v>
                </c:pt>
                <c:pt idx="4" c:formatCode="0.00%">
                  <c:v>0.341884330167025</c:v>
                </c:pt>
                <c:pt idx="5" c:formatCode="0.00%">
                  <c:v>0.164945800427855</c:v>
                </c:pt>
              </c:numCache>
            </c:numRef>
          </c:val>
        </c:ser>
        <c:ser>
          <c:idx val="1"/>
          <c:order val="1"/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val>
            <c:numRef>
              <c:f>{4.3,2.5,3.5,4.5}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2"/>
          <c:order val="2"/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val>
            <c:numRef>
              <c:f>{2.4,4.4,1.8,2.8}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3"/>
          <c:order val="3"/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val>
            <c:numRef>
              <c:f>{2,2,3,5}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50257974"/>
        <c:axId val="89276465"/>
      </c:barChart>
      <c:catAx>
        <c:axId val="1502579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76465"/>
        <c:crosses val="autoZero"/>
        <c:auto val="1"/>
        <c:lblAlgn val="ctr"/>
        <c:lblOffset val="100"/>
        <c:noMultiLvlLbl val="0"/>
      </c:catAx>
      <c:valAx>
        <c:axId val="892764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25797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e6b4b5-5dfb-4d5b-8247-013fc1be458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19534136012866"/>
          <c:y val="0.24987338158646"/>
          <c:w val="0.808894736842105"/>
          <c:h val="0.37064814814814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'Dashboard '!$B$93</c:f>
              <c:strCache>
                <c:ptCount val="1"/>
                <c:pt idx="0">
                  <c:v>2024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'Dashboard '!$A$94:$A$98</c:f>
              <c:strCache>
                <c:ptCount val="5"/>
                <c:pt idx="0">
                  <c:v>Net Mark-up / Interest Income</c:v>
                </c:pt>
                <c:pt idx="1">
                  <c:v>Total Non Mark-up / Interest Income</c:v>
                </c:pt>
                <c:pt idx="2">
                  <c:v>Total Income</c:v>
                </c:pt>
                <c:pt idx="3">
                  <c:v>Operating Expenses</c:v>
                </c:pt>
                <c:pt idx="4">
                  <c:v>Resulting in Profit Before Provisions/Tax</c:v>
                </c:pt>
              </c:strCache>
            </c:strRef>
          </c:cat>
          <c:val>
            <c:numRef>
              <c:f>'Dashboard '!$B$94:$B$98</c:f>
              <c:numCache>
                <c:formatCode>#,##0_);\(#,##0\)</c:formatCode>
                <c:ptCount val="5"/>
                <c:pt idx="0">
                  <c:v>173547881</c:v>
                </c:pt>
                <c:pt idx="1">
                  <c:v>83694532</c:v>
                </c:pt>
                <c:pt idx="2">
                  <c:v>257242413</c:v>
                </c:pt>
                <c:pt idx="3">
                  <c:v>97104258</c:v>
                </c:pt>
                <c:pt idx="4">
                  <c:v>145036839</c:v>
                </c:pt>
              </c:numCache>
            </c:numRef>
          </c:val>
        </c:ser>
        <c:ser>
          <c:idx val="1"/>
          <c:order val="1"/>
          <c:tx>
            <c:strRef>
              <c:f>'Dashboard '!$C$93</c:f>
              <c:strCache>
                <c:ptCount val="1"/>
                <c:pt idx="0">
                  <c:v>2023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'Dashboard '!$A$94:$A$98</c:f>
              <c:strCache>
                <c:ptCount val="5"/>
                <c:pt idx="0">
                  <c:v>Net Mark-up / Interest Income</c:v>
                </c:pt>
                <c:pt idx="1">
                  <c:v>Total Non Mark-up / Interest Income</c:v>
                </c:pt>
                <c:pt idx="2">
                  <c:v>Total Income</c:v>
                </c:pt>
                <c:pt idx="3">
                  <c:v>Operating Expenses</c:v>
                </c:pt>
                <c:pt idx="4">
                  <c:v>Resulting in Profit Before Provisions/Tax</c:v>
                </c:pt>
              </c:strCache>
            </c:strRef>
          </c:cat>
          <c:val>
            <c:numRef>
              <c:f>'Dashboard '!$C$94:$C$98</c:f>
              <c:numCache>
                <c:formatCode>#,##0_);\(#,##0\)</c:formatCode>
                <c:ptCount val="5"/>
                <c:pt idx="0">
                  <c:v>148975069</c:v>
                </c:pt>
                <c:pt idx="1">
                  <c:v>36072024</c:v>
                </c:pt>
                <c:pt idx="2">
                  <c:v>185047093</c:v>
                </c:pt>
                <c:pt idx="3">
                  <c:v>70093696</c:v>
                </c:pt>
                <c:pt idx="4">
                  <c:v>110584565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100"/>
        <c:axId val="983222980"/>
        <c:axId val="137172591"/>
      </c:barChart>
      <c:catAx>
        <c:axId val="983222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172591"/>
        <c:crosses val="autoZero"/>
        <c:auto val="1"/>
        <c:lblAlgn val="ctr"/>
        <c:lblOffset val="100"/>
        <c:noMultiLvlLbl val="0"/>
      </c:catAx>
      <c:valAx>
        <c:axId val="137172591"/>
        <c:scaling>
          <c:orientation val="minMax"/>
        </c:scaling>
        <c:delete val="1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#,##0_);\(#,##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32229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4f73b5-55b6-406e-a971-5acac2d6d4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1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46355</xdr:colOff>
      <xdr:row>38</xdr:row>
      <xdr:rowOff>10160</xdr:rowOff>
    </xdr:from>
    <xdr:to>
      <xdr:col>15</xdr:col>
      <xdr:colOff>173355</xdr:colOff>
      <xdr:row>57</xdr:row>
      <xdr:rowOff>176530</xdr:rowOff>
    </xdr:to>
    <xdr:graphicFrame>
      <xdr:nvGraphicFramePr>
        <xdr:cNvPr id="2" name="Chart 1"/>
        <xdr:cNvGraphicFramePr/>
      </xdr:nvGraphicFramePr>
      <xdr:xfrm>
        <a:off x="2884805" y="7668260"/>
        <a:ext cx="11398250" cy="390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8255</xdr:colOff>
      <xdr:row>65</xdr:row>
      <xdr:rowOff>147955</xdr:rowOff>
    </xdr:from>
    <xdr:to>
      <xdr:col>15</xdr:col>
      <xdr:colOff>133350</xdr:colOff>
      <xdr:row>90</xdr:row>
      <xdr:rowOff>121920</xdr:rowOff>
    </xdr:to>
    <xdr:graphicFrame>
      <xdr:nvGraphicFramePr>
        <xdr:cNvPr id="3" name="Chart 2"/>
        <xdr:cNvGraphicFramePr/>
      </xdr:nvGraphicFramePr>
      <xdr:xfrm>
        <a:off x="2846705" y="13121005"/>
        <a:ext cx="11396345" cy="4895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81915</xdr:colOff>
      <xdr:row>98</xdr:row>
      <xdr:rowOff>57150</xdr:rowOff>
    </xdr:from>
    <xdr:to>
      <xdr:col>15</xdr:col>
      <xdr:colOff>97155</xdr:colOff>
      <xdr:row>118</xdr:row>
      <xdr:rowOff>175260</xdr:rowOff>
    </xdr:to>
    <xdr:graphicFrame>
      <xdr:nvGraphicFramePr>
        <xdr:cNvPr id="4" name="Chart 3"/>
        <xdr:cNvGraphicFramePr/>
      </xdr:nvGraphicFramePr>
      <xdr:xfrm>
        <a:off x="2920365" y="19526250"/>
        <a:ext cx="11286490" cy="4055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D34" totalsRowShown="0">
  <autoFilter xmlns:etc="http://www.wps.cn/officeDocument/2017/etCustomData" ref="A1:D34" etc:filterBottomFollowUsedRange="0"/>
  <tableColumns count="4">
    <tableColumn id="1" name="Statement of financial position(UBL)" dataDxfId="0"/>
    <tableColumn id="2" name="Note" dataDxfId="1"/>
    <tableColumn id="3" name="2024" dataDxfId="2"/>
    <tableColumn id="4" name="2023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7" name="Table7" displayName="Table7" ref="A1:D52" totalsRowShown="0">
  <autoFilter xmlns:etc="http://www.wps.cn/officeDocument/2017/etCustomData" ref="A1:D52" etc:filterBottomFollowUsedRange="0"/>
  <tableColumns count="4">
    <tableColumn id="1" name="Profit and loss statemnet (UBL)" dataDxfId="4"/>
    <tableColumn id="2" name="Note" dataDxfId="5"/>
    <tableColumn id="3" name="2024" dataDxfId="6"/>
    <tableColumn id="4" name="2023" dataDxfId="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8" name="Table8" displayName="Table8" ref="A1:C45" totalsRowShown="0">
  <autoFilter xmlns:etc="http://www.wps.cn/officeDocument/2017/etCustomData" ref="A1:C45" etc:filterBottomFollowUsedRange="0"/>
  <tableColumns count="3">
    <tableColumn id="1" name="Statement of comprehensive income" dataDxfId="8"/>
    <tableColumn id="2" name="2024" dataDxfId="9"/>
    <tableColumn id="3" name="2023" dataDxfId="1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1" name="Table11" displayName="Table11" ref="A1:M41" totalsRowShown="0">
  <autoFilter xmlns:etc="http://www.wps.cn/officeDocument/2017/etCustomData" ref="A1:M41" etc:filterBottomFollowUsedRange="0"/>
  <tableColumns count="13">
    <tableColumn id="1" name="Changes in equity" dataDxfId="11"/>
    <tableColumn id="2" name="Column1" dataDxfId="12"/>
    <tableColumn id="3" name="Column3" dataDxfId="13"/>
    <tableColumn id="4" name="Column4" dataDxfId="14"/>
    <tableColumn id="5" name="Column5" dataDxfId="15"/>
    <tableColumn id="6" name="Column6" dataDxfId="16"/>
    <tableColumn id="7" name="Column7" dataDxfId="17"/>
    <tableColumn id="8" name="Column8" dataDxfId="18"/>
    <tableColumn id="9" name="Column9" dataDxfId="19"/>
    <tableColumn id="10" name="Column10" dataDxfId="20"/>
    <tableColumn id="11" name="Column11" dataDxfId="21"/>
    <tableColumn id="12" name="Column12" dataDxfId="22"/>
    <tableColumn id="13" name="Column13" dataDxfId="2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1:D66" totalsRowShown="0">
  <autoFilter xmlns:etc="http://www.wps.cn/officeDocument/2017/etCustomData" ref="A1:D66" etc:filterBottomFollowUsedRange="0"/>
  <tableColumns count="4">
    <tableColumn id="1" name="CASH FLOW STATMENT" dataDxfId="24"/>
    <tableColumn id="2" name="Note" dataDxfId="25"/>
    <tableColumn id="3" name="2024" dataDxfId="26"/>
    <tableColumn id="4" name="2023" dataDxfId="2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2" name="Table2" displayName="Table2" ref="A1:D20" totalsRowShown="0">
  <autoFilter xmlns:etc="http://www.wps.cn/officeDocument/2017/etCustomData" ref="A1:D20" etc:filterBottomFollowUsedRange="0"/>
  <tableColumns count="4">
    <tableColumn id="1" name="Working capital Statment" dataDxfId="28"/>
    <tableColumn id="2" name="Note" dataDxfId="29"/>
    <tableColumn id="3" name="2024" dataDxfId="30"/>
    <tableColumn id="4" name="2023" dataDxfId="3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5"/>
  <sheetViews>
    <sheetView showGridLines="0" tabSelected="1" zoomScale="52" zoomScaleNormal="52" workbookViewId="0">
      <selection activeCell="A97" sqref="A97"/>
    </sheetView>
  </sheetViews>
  <sheetFormatPr defaultColWidth="8.66666666666667" defaultRowHeight="15.5"/>
  <cols>
    <col min="1" max="1" width="37.25" customWidth="1"/>
    <col min="2" max="2" width="18.5" customWidth="1"/>
    <col min="3" max="3" width="18.8333333333333" customWidth="1"/>
    <col min="4" max="4" width="15.25" customWidth="1"/>
  </cols>
  <sheetData>
    <row r="1" spans="1:17">
      <c r="A1" t="s">
        <v>0</v>
      </c>
    </row>
    <row r="2" spans="1:17">
      <c r="A2" t="s">
        <v>1</v>
      </c>
    </row>
    <row r="3" spans="1:17">
      <c r="A3" s="271" t="s">
        <v>2</v>
      </c>
      <c r="B3" s="272"/>
      <c r="C3" s="272"/>
      <c r="D3" s="272"/>
      <c r="E3" s="272"/>
      <c r="F3" s="272"/>
      <c r="G3" s="272"/>
      <c r="H3" s="272"/>
      <c r="I3" s="272"/>
      <c r="J3" s="272"/>
    </row>
    <row r="4" ht="23.5" spans="1:17">
      <c r="A4" s="273" t="s">
        <v>3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ht="18.5" spans="1:17">
      <c r="A5" s="274" t="s">
        <v>4</v>
      </c>
      <c r="B5" s="143"/>
    </row>
    <row r="7" ht="16.25" spans="1:17">
      <c r="A7" s="275" t="s">
        <v>5</v>
      </c>
      <c r="B7" s="108"/>
      <c r="C7" s="108"/>
      <c r="D7" s="108"/>
      <c r="E7" s="108"/>
      <c r="F7" s="108"/>
      <c r="G7" s="108"/>
    </row>
    <row r="8" ht="16.25" spans="1:17">
      <c r="A8" s="276" t="s">
        <v>6</v>
      </c>
      <c r="B8" s="110">
        <v>2024</v>
      </c>
      <c r="C8" s="110">
        <v>2023</v>
      </c>
      <c r="D8" s="277" t="s">
        <v>7</v>
      </c>
      <c r="E8" s="108"/>
      <c r="F8" s="108"/>
      <c r="G8" s="108"/>
    </row>
    <row r="9" spans="1:17">
      <c r="A9" s="278" t="s">
        <v>8</v>
      </c>
      <c r="B9" s="108">
        <f>'Statement of Financial Position'!C14</f>
        <v>8069097277</v>
      </c>
      <c r="C9" s="108">
        <f>'Statement of Financial Position'!D14</f>
        <v>5904674886</v>
      </c>
      <c r="D9" s="279">
        <f>(B9-C9)/C9</f>
        <v>0.366560806951768</v>
      </c>
      <c r="E9" s="108"/>
      <c r="F9" s="108"/>
      <c r="G9" s="108"/>
    </row>
    <row r="10" spans="1:17">
      <c r="A10" s="278" t="s">
        <v>9</v>
      </c>
      <c r="B10" s="108">
        <f>'Statement of Financial Position'!C8</f>
        <v>1443481944</v>
      </c>
      <c r="C10" s="108">
        <f>'Statement of Financial Position'!D8</f>
        <v>872040932</v>
      </c>
      <c r="D10" s="279">
        <f>(B10-C10)/C10</f>
        <v>0.655291501844319</v>
      </c>
      <c r="E10" s="108"/>
      <c r="F10" s="108"/>
      <c r="G10" s="108"/>
    </row>
    <row r="11" spans="1:17">
      <c r="A11" s="278" t="s">
        <v>10</v>
      </c>
      <c r="B11" s="108">
        <f>'Statement of Financial Position'!C18</f>
        <v>2639875985</v>
      </c>
      <c r="C11" s="108">
        <f>'Statement of Financial Position'!D18</f>
        <v>2634716102</v>
      </c>
      <c r="D11" s="279">
        <f>(B11-C11)/C11</f>
        <v>0.00195842086974121</v>
      </c>
      <c r="E11" s="108"/>
      <c r="F11" s="108"/>
      <c r="G11" s="108"/>
    </row>
    <row r="12" spans="1:17">
      <c r="A12" s="278" t="s">
        <v>11</v>
      </c>
      <c r="B12" s="108">
        <f>'Profit and Loss Statement'!C35</f>
        <v>75777444</v>
      </c>
      <c r="C12" s="108">
        <f>'Profit and Loss Statement'!D35</f>
        <v>56470921</v>
      </c>
      <c r="D12" s="279">
        <f>(B12-C12)/C12</f>
        <v>0.341884330167025</v>
      </c>
      <c r="E12" s="108"/>
      <c r="F12" s="108"/>
      <c r="G12" s="108"/>
    </row>
    <row r="13" spans="1:17">
      <c r="A13" s="278" t="s">
        <v>12</v>
      </c>
      <c r="B13" s="108">
        <f>'Profit and Loss Statement'!C5</f>
        <v>173547881</v>
      </c>
      <c r="C13" s="108">
        <f>'Profit and Loss Statement'!D5</f>
        <v>148975069</v>
      </c>
      <c r="D13" s="279">
        <f>(B13-C13)/C13</f>
        <v>0.164945800427855</v>
      </c>
      <c r="E13" s="108"/>
      <c r="F13" s="108"/>
      <c r="G13" s="108"/>
    </row>
    <row r="14" spans="1:17">
      <c r="B14" s="108"/>
      <c r="C14" s="108"/>
      <c r="D14" s="108"/>
      <c r="E14" s="108"/>
      <c r="F14" s="108"/>
      <c r="G14" s="108"/>
    </row>
    <row r="15" ht="16.25" spans="1:17">
      <c r="A15" s="275" t="s">
        <v>13</v>
      </c>
      <c r="B15" s="108"/>
      <c r="C15" s="108"/>
      <c r="D15" s="108"/>
      <c r="E15" s="108"/>
      <c r="F15" s="108"/>
      <c r="G15" s="108"/>
    </row>
    <row r="16" spans="1:17">
      <c r="A16" s="278"/>
      <c r="B16" s="280" t="s">
        <v>14</v>
      </c>
      <c r="C16" s="280" t="s">
        <v>15</v>
      </c>
      <c r="D16" s="108"/>
      <c r="E16" s="108"/>
      <c r="F16" s="108"/>
      <c r="G16" s="108"/>
    </row>
    <row r="17" spans="1:7">
      <c r="A17" s="278" t="s">
        <v>16</v>
      </c>
      <c r="B17" s="281">
        <f>'Profit and Loss Statement'!C35/AVERAGE('Statement of Financial Position'!C14,'Statement of Financial Position'!D14)</f>
        <v>0.0108456676001409</v>
      </c>
      <c r="C17" s="281">
        <f>'Profit and Loss Statement'!D35/AVERAGE('Statement of Financial Position'!D14,'Statement of Financial Position'!E14)</f>
        <v>0.00956376465940448</v>
      </c>
      <c r="D17" s="108"/>
      <c r="E17" s="108"/>
      <c r="F17" s="108"/>
      <c r="G17" s="108"/>
    </row>
    <row r="18" spans="1:7">
      <c r="A18" s="278" t="s">
        <v>17</v>
      </c>
      <c r="B18" s="282">
        <f>'Profit and Loss Statement'!C41/AVERAGE('Statement of Financial Position'!C31+'Statement of Financial Position'!D31)/2</f>
        <v>0.0635055857638808</v>
      </c>
      <c r="C18" s="282">
        <f>'Profit and Loss Statement'!D41/AVERAGE('Statement of Financial Position'!D31+'Statement of Financial Position'!E31)/2</f>
        <v>0.10175561513089</v>
      </c>
      <c r="D18" s="108"/>
      <c r="E18" s="108"/>
      <c r="F18" s="108"/>
      <c r="G18" s="108"/>
    </row>
    <row r="19" spans="1:7">
      <c r="A19" s="278" t="s">
        <v>18</v>
      </c>
      <c r="B19" s="281">
        <f>'Profit and Loss Statement'!C5/AVERAGE('Statement of Financial Position'!C14,'Statement of Financial Position'!D14)</f>
        <v>0.0248390883972651</v>
      </c>
      <c r="C19" s="281">
        <f>'Profit and Loss Statement'!D5/AVERAGE('Statement of Financial Position'!D14,'Statement of Financial Position'!E14)</f>
        <v>0.0252300205982924</v>
      </c>
      <c r="D19" s="108"/>
      <c r="E19" s="108"/>
      <c r="F19" s="108"/>
      <c r="G19" s="108"/>
    </row>
    <row r="20" spans="1:7">
      <c r="A20" s="278" t="s">
        <v>19</v>
      </c>
      <c r="B20" s="4">
        <f>'Profit and Loss Statement'!C22/('Profit and Loss Statement'!C16)</f>
        <v>0.390002884166695</v>
      </c>
      <c r="C20" s="4">
        <f>'Profit and Loss Statement'!D22/('Profit and Loss Statement'!D16)</f>
        <v>0.391753438677364</v>
      </c>
      <c r="D20" s="108"/>
      <c r="E20" s="108"/>
      <c r="F20" s="108"/>
      <c r="G20" s="108"/>
    </row>
    <row r="21" spans="1:7">
      <c r="A21" s="278" t="s">
        <v>20</v>
      </c>
      <c r="B21" s="4">
        <f>'Statement of Financial Position'!C8/'Statement of Financial Position'!C18</f>
        <v>0.546799149733543</v>
      </c>
      <c r="C21" s="4">
        <f>'Statement of Financial Position'!D8/'Statement of Financial Position'!D18</f>
        <v>0.330980985517961</v>
      </c>
      <c r="D21" s="108"/>
      <c r="E21" s="108"/>
      <c r="F21" s="108"/>
      <c r="G21" s="108"/>
    </row>
    <row r="22" spans="1:7">
      <c r="A22" s="278" t="s">
        <v>21</v>
      </c>
      <c r="B22" s="4">
        <f>'Profit and Loss Statement'!C50</f>
        <v>61.3928280285213</v>
      </c>
      <c r="C22" s="4">
        <f>'Profit and Loss Statement'!D50</f>
        <v>45.0465528758606</v>
      </c>
      <c r="D22" s="108"/>
      <c r="E22" s="108"/>
      <c r="F22" s="108"/>
      <c r="G22" s="108"/>
    </row>
    <row r="23" spans="1:7">
      <c r="A23" s="283" t="s">
        <v>22</v>
      </c>
      <c r="B23" s="281"/>
      <c r="C23" s="281"/>
      <c r="D23" s="108"/>
      <c r="E23" s="108"/>
      <c r="F23" s="108"/>
      <c r="G23" s="108"/>
    </row>
    <row r="24" spans="1:7">
      <c r="A24" s="284" t="s">
        <v>23</v>
      </c>
      <c r="B24" s="284"/>
      <c r="C24" s="108"/>
      <c r="D24" s="108"/>
      <c r="E24" s="108"/>
      <c r="F24" s="108"/>
      <c r="G24" s="108"/>
    </row>
    <row r="25" spans="1:7">
      <c r="B25" s="108"/>
      <c r="C25" s="108"/>
      <c r="D25" s="108"/>
      <c r="E25" s="108"/>
      <c r="F25" s="108"/>
      <c r="G25" s="108"/>
    </row>
    <row r="26" ht="16.25" spans="1:7">
      <c r="A26" s="275" t="s">
        <v>24</v>
      </c>
      <c r="B26" s="108"/>
      <c r="C26" s="108"/>
      <c r="D26" s="108"/>
      <c r="E26" s="108"/>
      <c r="F26" s="108"/>
      <c r="G26" s="108"/>
    </row>
    <row r="27" spans="1:7">
      <c r="A27" s="285" t="s">
        <v>25</v>
      </c>
      <c r="B27" s="108"/>
      <c r="C27" s="108"/>
      <c r="D27" s="108"/>
      <c r="E27" s="108"/>
      <c r="F27" s="108"/>
      <c r="G27" s="108"/>
    </row>
    <row r="28" spans="1:7">
      <c r="A28" s="124" t="s">
        <v>26</v>
      </c>
      <c r="B28" s="286">
        <v>2024</v>
      </c>
      <c r="C28" s="219"/>
      <c r="D28" s="108"/>
      <c r="E28" s="108"/>
      <c r="F28" s="108"/>
    </row>
    <row r="29" spans="1:7">
      <c r="A29" t="s">
        <v>27</v>
      </c>
      <c r="B29" s="287">
        <v>310836376</v>
      </c>
      <c r="C29" s="287"/>
    </row>
    <row r="30" spans="1:7">
      <c r="A30" t="s">
        <v>28</v>
      </c>
      <c r="B30" s="287">
        <v>59968246</v>
      </c>
      <c r="C30" s="287"/>
    </row>
    <row r="31" spans="1:7">
      <c r="A31" t="s">
        <v>29</v>
      </c>
      <c r="B31" s="287">
        <v>18492483</v>
      </c>
      <c r="C31" s="287"/>
    </row>
    <row r="32" spans="1:7">
      <c r="A32" t="s">
        <v>30</v>
      </c>
      <c r="B32" s="287">
        <v>5889765841</v>
      </c>
      <c r="C32" s="287"/>
    </row>
    <row r="33" spans="1:3">
      <c r="A33" t="s">
        <v>31</v>
      </c>
      <c r="B33" s="287">
        <v>1443481944</v>
      </c>
      <c r="C33" s="287"/>
    </row>
    <row r="34" spans="1:3">
      <c r="A34" t="s">
        <v>32</v>
      </c>
      <c r="B34" s="287">
        <v>85591999</v>
      </c>
      <c r="C34" s="287"/>
    </row>
    <row r="35" spans="1:3">
      <c r="A35" t="s">
        <v>33</v>
      </c>
      <c r="B35" s="287">
        <v>10231121</v>
      </c>
      <c r="C35" s="287"/>
    </row>
    <row r="36" spans="1:3">
      <c r="A36" t="s">
        <v>34</v>
      </c>
      <c r="B36" s="287">
        <v>2792016</v>
      </c>
      <c r="C36" s="287"/>
    </row>
    <row r="37" spans="1:3">
      <c r="A37" t="s">
        <v>35</v>
      </c>
      <c r="B37" s="287"/>
      <c r="C37" s="287"/>
    </row>
    <row r="38" spans="1:3">
      <c r="A38" t="s">
        <v>36</v>
      </c>
      <c r="B38" s="287">
        <v>247937251</v>
      </c>
      <c r="C38" s="287"/>
    </row>
    <row r="39" spans="1:3">
      <c r="B39" s="287"/>
      <c r="C39" s="287"/>
    </row>
    <row r="40" spans="1:3">
      <c r="B40" s="287"/>
      <c r="C40" s="287"/>
    </row>
    <row r="41" spans="1:3">
      <c r="B41" s="287"/>
      <c r="C41" s="287"/>
    </row>
    <row r="42" spans="1:3">
      <c r="B42" s="287"/>
      <c r="C42" s="287"/>
    </row>
    <row r="43" spans="1:3">
      <c r="B43" s="287"/>
      <c r="C43" s="287"/>
    </row>
    <row r="44" spans="1:3">
      <c r="B44" s="287"/>
      <c r="C44" s="287"/>
    </row>
    <row r="45" spans="1:3">
      <c r="B45" s="287"/>
      <c r="C45" s="287"/>
    </row>
    <row r="46" spans="1:3">
      <c r="B46" s="287"/>
      <c r="C46" s="287"/>
    </row>
    <row r="47" spans="1:3">
      <c r="B47" s="287"/>
      <c r="C47" s="287"/>
    </row>
    <row r="48" spans="1:3">
      <c r="B48" s="287"/>
      <c r="C48" s="287"/>
    </row>
    <row r="49" spans="1:3">
      <c r="B49" s="287"/>
      <c r="C49" s="287"/>
    </row>
    <row r="50" spans="1:3">
      <c r="B50" s="287"/>
      <c r="C50" s="287"/>
    </row>
    <row r="51" spans="1:3">
      <c r="B51" s="287"/>
      <c r="C51" s="287"/>
    </row>
    <row r="52" spans="1:3">
      <c r="B52" s="287"/>
      <c r="C52" s="287"/>
    </row>
    <row r="53" spans="1:3">
      <c r="B53" s="287"/>
      <c r="C53" s="287"/>
    </row>
    <row r="54" spans="1:3">
      <c r="B54" s="287"/>
      <c r="C54" s="287"/>
    </row>
    <row r="55" spans="1:3">
      <c r="B55" s="287"/>
      <c r="C55" s="287"/>
    </row>
    <row r="56" spans="1:3">
      <c r="B56" s="287"/>
      <c r="C56" s="287"/>
    </row>
    <row r="57" spans="1:3">
      <c r="B57" s="287"/>
      <c r="C57" s="287"/>
    </row>
    <row r="58" spans="1:3">
      <c r="B58" s="287"/>
      <c r="C58" s="287"/>
    </row>
    <row r="59" spans="1:3">
      <c r="B59" s="287"/>
      <c r="C59" s="287"/>
    </row>
    <row r="60" spans="1:3">
      <c r="A60" s="285" t="s">
        <v>37</v>
      </c>
      <c r="B60" s="288"/>
      <c r="C60" s="288"/>
    </row>
    <row r="61" spans="1:3">
      <c r="A61" s="278" t="s">
        <v>8</v>
      </c>
      <c r="B61" s="289">
        <f>(B9-C9)/C9</f>
        <v>0.366560806951768</v>
      </c>
    </row>
    <row r="62" spans="1:3">
      <c r="A62" s="278" t="s">
        <v>9</v>
      </c>
      <c r="B62" s="290">
        <f>(B10-C10)/C10</f>
        <v>0.655291501844319</v>
      </c>
    </row>
    <row r="63" spans="1:3">
      <c r="A63" s="278" t="s">
        <v>10</v>
      </c>
      <c r="B63" s="290">
        <f>(B11-C11)/C11</f>
        <v>0.00195842086974121</v>
      </c>
    </row>
    <row r="64" spans="1:3">
      <c r="A64" s="278" t="s">
        <v>11</v>
      </c>
      <c r="B64" s="290">
        <f>(B12-C12)/C12</f>
        <v>0.341884330167025</v>
      </c>
    </row>
    <row r="65" spans="1:2">
      <c r="A65" s="278" t="s">
        <v>12</v>
      </c>
      <c r="B65" s="290">
        <f>(B13-C13)/C13</f>
        <v>0.164945800427855</v>
      </c>
    </row>
    <row r="92" spans="1:3">
      <c r="A92" s="285" t="s">
        <v>38</v>
      </c>
    </row>
    <row r="93" spans="1:3">
      <c r="A93" s="291"/>
      <c r="B93" s="110">
        <v>2024</v>
      </c>
      <c r="C93" s="110">
        <v>2023</v>
      </c>
    </row>
    <row r="94" spans="1:3">
      <c r="A94" s="278" t="s">
        <v>12</v>
      </c>
      <c r="B94" s="108">
        <f>'Profit and Loss Statement'!C5</f>
        <v>173547881</v>
      </c>
      <c r="C94" s="108">
        <f>'Profit and Loss Statement'!D5</f>
        <v>148975069</v>
      </c>
    </row>
    <row r="95" spans="1:3">
      <c r="A95" s="278" t="s">
        <v>39</v>
      </c>
      <c r="B95" s="108">
        <f>'Profit and Loss Statement'!C15</f>
        <v>83694532</v>
      </c>
      <c r="C95" s="108">
        <f>'Profit and Loss Statement'!D15</f>
        <v>36072024</v>
      </c>
    </row>
    <row r="96" spans="1:3">
      <c r="A96" s="278" t="s">
        <v>40</v>
      </c>
      <c r="B96" s="108">
        <f>'Profit and Loss Statement'!C16</f>
        <v>257242413</v>
      </c>
      <c r="C96" s="108">
        <f>'Profit and Loss Statement'!D16</f>
        <v>185047093</v>
      </c>
    </row>
    <row r="97" spans="1:3">
      <c r="A97" s="278" t="s">
        <v>41</v>
      </c>
      <c r="B97" s="108">
        <f>'Profit and Loss Statement'!C19</f>
        <v>97104258</v>
      </c>
      <c r="C97" s="108">
        <f>'Profit and Loss Statement'!D19</f>
        <v>70093696</v>
      </c>
    </row>
    <row r="98" spans="1:3">
      <c r="A98" s="278" t="s">
        <v>42</v>
      </c>
      <c r="B98" s="108">
        <f>'Profit and Loss Statement'!C27</f>
        <v>145036839</v>
      </c>
      <c r="C98" s="108">
        <f>'Profit and Loss Statement'!D27</f>
        <v>110584565</v>
      </c>
    </row>
    <row r="120" ht="23.5" spans="1:25">
      <c r="A120" s="292" t="s">
        <v>43</v>
      </c>
    </row>
    <row r="121" spans="1:25">
      <c r="A121" s="278"/>
    </row>
    <row r="122" ht="132" customHeight="1" spans="1:25">
      <c r="A122" s="293" t="s">
        <v>44</v>
      </c>
      <c r="B122" s="294"/>
      <c r="C122" s="294"/>
      <c r="D122" s="294"/>
      <c r="E122" s="294"/>
      <c r="F122" s="295"/>
      <c r="G122" s="295"/>
      <c r="H122" s="295"/>
      <c r="I122" s="295"/>
      <c r="J122" s="295"/>
      <c r="K122" s="295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</row>
    <row r="123" ht="124" customHeight="1" spans="1:25">
      <c r="A123" s="296" t="s">
        <v>45</v>
      </c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7"/>
      <c r="U123" s="297"/>
    </row>
    <row r="124" ht="271" customHeight="1" spans="1:25">
      <c r="A124" s="296" t="s">
        <v>46</v>
      </c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</row>
    <row r="125" ht="294" customHeight="1" spans="1:25">
      <c r="A125" s="296" t="s">
        <v>47</v>
      </c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296"/>
      <c r="P125" s="296"/>
      <c r="Q125" s="296"/>
      <c r="R125" s="296"/>
      <c r="S125" s="296"/>
      <c r="T125" s="296"/>
      <c r="U125" s="296"/>
      <c r="V125" s="296"/>
      <c r="W125" s="296"/>
      <c r="X125" s="296"/>
    </row>
  </sheetData>
  <sheetProtection sheet="1" objects="1"/>
  <mergeCells count="7">
    <mergeCell ref="A3:J3"/>
    <mergeCell ref="A4:Q4"/>
    <mergeCell ref="A24:B24"/>
    <mergeCell ref="A122:U122"/>
    <mergeCell ref="A123:S123"/>
    <mergeCell ref="A124:Y124"/>
    <mergeCell ref="A125:X125"/>
  </mergeCells>
  <conditionalFormatting sqref="A8:C8">
    <cfRule type="colorScale" priority="8">
      <colorScale>
        <cfvo type="min"/>
        <cfvo type="max"/>
        <color rgb="FFFFEF9C"/>
        <color rgb="FF63BE7B"/>
      </colorScale>
    </cfRule>
  </conditionalFormatting>
  <conditionalFormatting sqref="B16">
    <cfRule type="colorScale" priority="7">
      <colorScale>
        <cfvo type="min"/>
        <cfvo type="max"/>
        <color rgb="FFFFEF9C"/>
        <color rgb="FF63BE7B"/>
      </colorScale>
    </cfRule>
  </conditionalFormatting>
  <conditionalFormatting sqref="C16">
    <cfRule type="colorScale" priority="6">
      <colorScale>
        <cfvo type="min"/>
        <cfvo type="max"/>
        <color rgb="FFFFEF9C"/>
        <color rgb="FF63BE7B"/>
      </colorScale>
    </cfRule>
  </conditionalFormatting>
  <conditionalFormatting sqref="B61">
    <cfRule type="colorScale" priority="3">
      <colorScale>
        <cfvo type="min"/>
        <cfvo type="max"/>
        <color rgb="FFFCFCFF"/>
        <color rgb="FF63BE7B"/>
      </colorScale>
    </cfRule>
  </conditionalFormatting>
  <conditionalFormatting sqref="B61:B65">
    <cfRule type="colorScale" priority="2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9:D13">
    <cfRule type="colorScale" priority="1">
      <colorScale>
        <cfvo type="min"/>
        <cfvo type="max"/>
        <color rgb="FFFCFCFF"/>
        <color rgb="FF63BE7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zoomScale="83" zoomScaleNormal="83" workbookViewId="0">
      <pane ySplit="1" topLeftCell="A2" activePane="bottomLeft" state="frozen"/>
      <selection/>
      <selection pane="bottomLeft" activeCell="A3" sqref="A3:D14"/>
    </sheetView>
  </sheetViews>
  <sheetFormatPr defaultColWidth="8.66666666666667" defaultRowHeight="15.5" outlineLevelCol="3"/>
  <cols>
    <col min="1" max="1" width="50.5833333333333" customWidth="1"/>
    <col min="2" max="2" width="9.66666666666667" customWidth="1"/>
    <col min="3" max="3" width="14.9166666666667" style="108" customWidth="1"/>
    <col min="4" max="4" width="21.75" style="108" customWidth="1"/>
  </cols>
  <sheetData>
    <row r="1" ht="24.25" spans="1:4">
      <c r="A1" s="109" t="s">
        <v>48</v>
      </c>
      <c r="B1" s="174" t="s">
        <v>49</v>
      </c>
      <c r="C1" s="173" t="s">
        <v>50</v>
      </c>
      <c r="D1" s="173" t="s">
        <v>51</v>
      </c>
    </row>
    <row r="2" ht="16.25" spans="1:4">
      <c r="B2" s="125"/>
      <c r="C2" s="204" t="s">
        <v>52</v>
      </c>
      <c r="D2" s="204" t="s">
        <v>52</v>
      </c>
    </row>
    <row r="3" ht="16.25" spans="1:4">
      <c r="A3" s="124" t="s">
        <v>26</v>
      </c>
      <c r="B3" s="125"/>
      <c r="C3" s="204"/>
      <c r="D3" s="173"/>
    </row>
    <row r="4" ht="16.25" spans="1:4">
      <c r="A4" t="s">
        <v>27</v>
      </c>
      <c r="B4" s="116">
        <v>5</v>
      </c>
      <c r="C4" s="117">
        <v>310836376</v>
      </c>
      <c r="D4" s="118">
        <v>277355760</v>
      </c>
    </row>
    <row r="5" ht="16.25" spans="1:4">
      <c r="A5" t="s">
        <v>28</v>
      </c>
      <c r="B5" s="116">
        <v>6</v>
      </c>
      <c r="C5" s="119">
        <v>59968246</v>
      </c>
      <c r="D5" s="120">
        <v>33430371</v>
      </c>
    </row>
    <row r="6" ht="16.25" spans="1:4">
      <c r="A6" t="s">
        <v>29</v>
      </c>
      <c r="B6" s="116">
        <v>7</v>
      </c>
      <c r="C6" s="119">
        <v>18492483</v>
      </c>
      <c r="D6" s="120">
        <v>39316270</v>
      </c>
    </row>
    <row r="7" ht="16.25" spans="1:4">
      <c r="A7" t="s">
        <v>30</v>
      </c>
      <c r="B7" s="116">
        <v>8</v>
      </c>
      <c r="C7" s="119">
        <v>5889765841</v>
      </c>
      <c r="D7" s="120">
        <v>4435750870</v>
      </c>
    </row>
    <row r="8" ht="16.25" spans="1:4">
      <c r="A8" t="s">
        <v>31</v>
      </c>
      <c r="B8" s="116">
        <v>9</v>
      </c>
      <c r="C8" s="119">
        <v>1443481944</v>
      </c>
      <c r="D8" s="120">
        <v>872040932</v>
      </c>
    </row>
    <row r="9" ht="16.25" spans="1:4">
      <c r="A9" t="s">
        <v>32</v>
      </c>
      <c r="B9" s="116">
        <v>10</v>
      </c>
      <c r="C9" s="119">
        <v>85591999</v>
      </c>
      <c r="D9" s="120">
        <v>76460159</v>
      </c>
    </row>
    <row r="10" ht="16.25" spans="1:4">
      <c r="A10" t="s">
        <v>33</v>
      </c>
      <c r="B10" s="116">
        <v>11</v>
      </c>
      <c r="C10" s="119">
        <v>10231121</v>
      </c>
      <c r="D10" s="120">
        <v>8611473</v>
      </c>
    </row>
    <row r="11" ht="16.25" spans="1:4">
      <c r="A11" t="s">
        <v>34</v>
      </c>
      <c r="B11" s="116">
        <v>12</v>
      </c>
      <c r="C11" s="119">
        <v>2792016</v>
      </c>
      <c r="D11" s="120">
        <v>2552398</v>
      </c>
    </row>
    <row r="12" ht="16.25" spans="1:4">
      <c r="A12" t="s">
        <v>35</v>
      </c>
      <c r="B12" s="116">
        <v>13</v>
      </c>
      <c r="C12" s="119"/>
      <c r="D12" s="120"/>
    </row>
    <row r="13" ht="16.25" spans="1:4">
      <c r="A13" t="s">
        <v>36</v>
      </c>
      <c r="B13" s="116">
        <v>14</v>
      </c>
      <c r="C13" s="121">
        <v>247937251</v>
      </c>
      <c r="D13" s="122">
        <v>159156653</v>
      </c>
    </row>
    <row r="14" ht="16.25" spans="1:4">
      <c r="B14" s="125"/>
      <c r="C14" s="259">
        <f>SUM(C4:C13)</f>
        <v>8069097277</v>
      </c>
      <c r="D14" s="259">
        <f>SUM(D4:D13)</f>
        <v>5904674886</v>
      </c>
    </row>
    <row r="15" ht="16.25" spans="1:4">
      <c r="A15" s="124" t="s">
        <v>53</v>
      </c>
      <c r="B15" s="125"/>
      <c r="C15" s="260"/>
      <c r="D15" s="261"/>
    </row>
    <row r="16" ht="16.25" spans="1:4">
      <c r="A16" t="s">
        <v>54</v>
      </c>
      <c r="B16" s="116">
        <v>16</v>
      </c>
      <c r="C16" s="117">
        <v>44221818</v>
      </c>
      <c r="D16" s="118">
        <v>21734531</v>
      </c>
    </row>
    <row r="17" ht="16.25" spans="1:4">
      <c r="A17" t="s">
        <v>55</v>
      </c>
      <c r="B17" s="116">
        <v>17</v>
      </c>
      <c r="C17" s="119">
        <v>4855373516</v>
      </c>
      <c r="D17" s="120">
        <v>2823887914</v>
      </c>
    </row>
    <row r="18" ht="16.25" spans="1:4">
      <c r="A18" t="s">
        <v>56</v>
      </c>
      <c r="B18" s="116">
        <v>18</v>
      </c>
      <c r="C18" s="119">
        <v>2639875985</v>
      </c>
      <c r="D18" s="120">
        <v>2634716102</v>
      </c>
    </row>
    <row r="19" ht="16.25" spans="1:4">
      <c r="A19" t="s">
        <v>57</v>
      </c>
      <c r="B19" s="116">
        <v>19</v>
      </c>
      <c r="C19" s="119">
        <v>12381018</v>
      </c>
      <c r="D19" s="120">
        <v>10474561</v>
      </c>
    </row>
    <row r="20" ht="16.25" spans="1:4">
      <c r="A20" t="s">
        <v>58</v>
      </c>
      <c r="B20" s="116">
        <v>20</v>
      </c>
      <c r="C20" s="119">
        <v>10000000</v>
      </c>
      <c r="D20" s="120">
        <v>10000000</v>
      </c>
    </row>
    <row r="21" ht="16.25" spans="1:4">
      <c r="A21" t="s">
        <v>59</v>
      </c>
      <c r="B21" s="116">
        <v>13</v>
      </c>
      <c r="C21" s="119">
        <v>39311263</v>
      </c>
      <c r="D21" s="120">
        <v>2079220</v>
      </c>
    </row>
    <row r="22" ht="16.25" spans="1:4">
      <c r="A22" t="s">
        <v>60</v>
      </c>
      <c r="B22" s="116">
        <v>21</v>
      </c>
      <c r="C22" s="121">
        <v>147125664</v>
      </c>
      <c r="D22" s="122">
        <v>115909963</v>
      </c>
    </row>
    <row r="23" ht="16.25" spans="1:4">
      <c r="B23" s="125"/>
      <c r="C23" s="259">
        <f>SUM(C16:C22)</f>
        <v>7748289264</v>
      </c>
      <c r="D23" s="259">
        <f>SUM(D16:D22)</f>
        <v>5618802291</v>
      </c>
    </row>
    <row r="24" ht="16.25" spans="1:4">
      <c r="A24" s="124" t="s">
        <v>61</v>
      </c>
      <c r="B24" s="125"/>
      <c r="C24" s="262">
        <f>C14-C23</f>
        <v>320808013</v>
      </c>
      <c r="D24" s="262">
        <f>D14-D23</f>
        <v>285872595</v>
      </c>
    </row>
    <row r="25" ht="17" spans="1:4">
      <c r="B25" s="125"/>
      <c r="C25" s="259"/>
      <c r="D25" s="263"/>
    </row>
    <row r="26" ht="16.25" spans="1:4">
      <c r="A26" s="124" t="s">
        <v>62</v>
      </c>
      <c r="B26" s="125"/>
      <c r="C26" s="260"/>
      <c r="D26" s="261"/>
    </row>
    <row r="27" ht="16.25" spans="1:4">
      <c r="A27" t="s">
        <v>63</v>
      </c>
      <c r="B27" s="116">
        <v>22</v>
      </c>
      <c r="C27" s="260">
        <v>12241797</v>
      </c>
      <c r="D27" s="261">
        <v>12241797</v>
      </c>
    </row>
    <row r="28" ht="16.25" spans="1:4">
      <c r="A28" t="s">
        <v>64</v>
      </c>
      <c r="B28" s="125"/>
      <c r="C28" s="260">
        <v>114734831</v>
      </c>
      <c r="D28" s="261">
        <v>116771416</v>
      </c>
    </row>
    <row r="29" ht="16.25" spans="1:4">
      <c r="A29" t="s">
        <v>65</v>
      </c>
      <c r="B29" s="116">
        <v>23</v>
      </c>
      <c r="C29" s="260">
        <v>77309424</v>
      </c>
      <c r="D29" s="261">
        <v>44575947</v>
      </c>
    </row>
    <row r="30" ht="16.25" spans="1:4">
      <c r="A30" t="s">
        <v>66</v>
      </c>
      <c r="B30" s="206"/>
      <c r="C30" s="260">
        <v>116472051</v>
      </c>
      <c r="D30" s="261">
        <v>97379056</v>
      </c>
    </row>
    <row r="31" spans="1:4">
      <c r="A31" t="s">
        <v>67</v>
      </c>
      <c r="C31" s="264">
        <f>SUM(C27:C30)</f>
        <v>320758103</v>
      </c>
      <c r="D31" s="265">
        <f>SUM(D27:D30)</f>
        <v>270968216</v>
      </c>
    </row>
    <row r="32" spans="1:4">
      <c r="A32" t="s">
        <v>68</v>
      </c>
      <c r="B32" s="266">
        <v>24</v>
      </c>
      <c r="C32" s="267">
        <v>49910</v>
      </c>
      <c r="D32" s="268">
        <v>14904379</v>
      </c>
    </row>
    <row r="33" ht="16.25" spans="2:4">
      <c r="B33" s="269"/>
      <c r="C33" s="256">
        <f>C31+C32</f>
        <v>320808013</v>
      </c>
      <c r="D33" s="256">
        <f>D31+D32</f>
        <v>285872595</v>
      </c>
    </row>
    <row r="34" ht="16.25" spans="2:4">
      <c r="B34" s="255"/>
      <c r="C34" s="270"/>
      <c r="D34" s="270"/>
    </row>
  </sheetData>
  <hyperlinks>
    <hyperlink ref="B4" location="'Supporting notes '!A2" display="5"/>
    <hyperlink ref="B5" location="'Supporting notes '!A28" display="6"/>
    <hyperlink ref="B6" location="'Supporting notes '!A44" display="7"/>
    <hyperlink ref="B8" location="'Supporting notes '!A57" display="9"/>
    <hyperlink ref="B9" location="'Supporting notes '!A91" display="10"/>
    <hyperlink ref="B10" location="'Supporting notes '!A99" display="11"/>
    <hyperlink ref="B11" location="'Supporting notes '!A117" display="12"/>
    <hyperlink ref="B12" location="'Supporting notes '!A125" display="13"/>
    <hyperlink ref="B13" location="'Supporting notes '!A152" display="14"/>
    <hyperlink ref="B16" location="'Supporting notes '!A179" display="16"/>
    <hyperlink ref="B17" location="'Supporting notes '!A186" display="17"/>
    <hyperlink ref="B18" location="'Supporting notes '!A209" display="18"/>
    <hyperlink ref="B19" location="'Supporting notes '!A226" display="19"/>
    <hyperlink ref="B21" location="'Supporting notes '! A125" display="13"/>
    <hyperlink ref="B22" location="'Supporting notes '!A238" display="21"/>
    <hyperlink ref="B27" location="'Supporting notes '!A263" display="22"/>
    <hyperlink ref="B32" location="'Supporting notes '!A311" display="24"/>
    <hyperlink ref="B29" location="'Supporting notes '!A275" display="23"/>
  </hyperlink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zoomScale="67" zoomScaleNormal="67" workbookViewId="0">
      <pane ySplit="1" topLeftCell="A5" activePane="bottomLeft" state="frozen"/>
      <selection/>
      <selection pane="bottomLeft" activeCell="C50" sqref="C50"/>
    </sheetView>
  </sheetViews>
  <sheetFormatPr defaultColWidth="8.66666666666667" defaultRowHeight="15.5" outlineLevelCol="4"/>
  <cols>
    <col min="1" max="1" width="99.1666666666667" customWidth="1"/>
    <col min="2" max="2" width="11.8083333333333" customWidth="1"/>
    <col min="3" max="3" width="26.5" style="108" customWidth="1"/>
    <col min="4" max="4" width="23" style="108" customWidth="1"/>
  </cols>
  <sheetData>
    <row r="1" ht="23.5" spans="1:5">
      <c r="A1" s="5" t="s">
        <v>69</v>
      </c>
      <c r="B1" s="242" t="s">
        <v>49</v>
      </c>
      <c r="C1" s="243" t="s">
        <v>50</v>
      </c>
      <c r="D1" s="243" t="s">
        <v>51</v>
      </c>
      <c r="E1" s="2"/>
    </row>
    <row r="2" spans="1:5">
      <c r="A2" s="2"/>
      <c r="B2" s="2"/>
      <c r="C2" s="243" t="s">
        <v>52</v>
      </c>
      <c r="D2" s="243" t="s">
        <v>52</v>
      </c>
      <c r="E2" s="2"/>
    </row>
    <row r="3" spans="1:5">
      <c r="A3" s="2" t="s">
        <v>70</v>
      </c>
      <c r="B3" s="244">
        <v>27</v>
      </c>
      <c r="C3" s="245">
        <v>1084641497</v>
      </c>
      <c r="D3" s="245">
        <v>535211524</v>
      </c>
      <c r="E3" s="2"/>
    </row>
    <row r="4" spans="1:5">
      <c r="A4" s="2" t="s">
        <v>71</v>
      </c>
      <c r="B4" s="244">
        <v>28</v>
      </c>
      <c r="C4" s="245">
        <v>911093616</v>
      </c>
      <c r="D4" s="245">
        <v>386236455</v>
      </c>
      <c r="E4" s="2"/>
    </row>
    <row r="5" spans="1:5">
      <c r="A5" s="130" t="s">
        <v>72</v>
      </c>
      <c r="B5" s="2"/>
      <c r="C5" s="246">
        <f>C3-C4</f>
        <v>173547881</v>
      </c>
      <c r="D5" s="247">
        <f>D3-D4</f>
        <v>148975069</v>
      </c>
      <c r="E5" s="2"/>
    </row>
    <row r="6" spans="1:5">
      <c r="A6" s="130"/>
      <c r="B6" s="2"/>
      <c r="C6" s="248"/>
      <c r="D6" s="245"/>
      <c r="E6" s="2"/>
    </row>
    <row r="7" spans="1:5">
      <c r="A7" s="130" t="s">
        <v>73</v>
      </c>
      <c r="B7" s="2"/>
      <c r="C7" s="245"/>
      <c r="D7" s="245"/>
      <c r="E7" s="2"/>
    </row>
    <row r="8" spans="1:5">
      <c r="A8" s="2" t="s">
        <v>74</v>
      </c>
      <c r="B8" s="244">
        <v>29</v>
      </c>
      <c r="C8" s="249">
        <v>21535329</v>
      </c>
      <c r="D8" s="250">
        <v>19751084</v>
      </c>
      <c r="E8" s="2"/>
    </row>
    <row r="9" spans="1:5">
      <c r="A9" s="2" t="s">
        <v>75</v>
      </c>
      <c r="B9" s="2"/>
      <c r="C9" s="251">
        <v>1741707</v>
      </c>
      <c r="D9" s="252">
        <v>1614470</v>
      </c>
      <c r="E9" s="2"/>
    </row>
    <row r="10" spans="1:5">
      <c r="A10" s="2" t="s">
        <v>76</v>
      </c>
      <c r="B10" s="2"/>
      <c r="C10" s="251">
        <v>12559992</v>
      </c>
      <c r="D10" s="252">
        <v>12715845</v>
      </c>
      <c r="E10" s="2"/>
    </row>
    <row r="11" spans="1:5">
      <c r="A11" s="2" t="s">
        <v>77</v>
      </c>
      <c r="B11" s="2"/>
      <c r="C11" s="251">
        <v>1230801</v>
      </c>
      <c r="D11" s="252">
        <v>-65266</v>
      </c>
      <c r="E11" s="2"/>
    </row>
    <row r="12" spans="1:5">
      <c r="A12" s="2" t="s">
        <v>78</v>
      </c>
      <c r="B12" s="244">
        <v>30</v>
      </c>
      <c r="C12" s="251">
        <v>42592701</v>
      </c>
      <c r="D12" s="252">
        <v>532782</v>
      </c>
      <c r="E12" s="2"/>
    </row>
    <row r="13" spans="1:5">
      <c r="A13" s="2" t="s">
        <v>79</v>
      </c>
      <c r="B13" s="2"/>
      <c r="C13" s="251">
        <v>2894427</v>
      </c>
      <c r="D13" s="252">
        <v>0</v>
      </c>
      <c r="E13" s="2"/>
    </row>
    <row r="14" spans="1:5">
      <c r="A14" s="2" t="s">
        <v>80</v>
      </c>
      <c r="B14" s="244">
        <v>31</v>
      </c>
      <c r="C14" s="253">
        <v>1139575</v>
      </c>
      <c r="D14" s="254">
        <v>1523109</v>
      </c>
      <c r="E14" s="2"/>
    </row>
    <row r="15" spans="1:5">
      <c r="A15" s="2" t="s">
        <v>81</v>
      </c>
      <c r="B15" s="2"/>
      <c r="C15" s="245">
        <f>SUM(C8:C14)</f>
        <v>83694532</v>
      </c>
      <c r="D15" s="245">
        <f>SUM(D8:D14)</f>
        <v>36072024</v>
      </c>
      <c r="E15" s="2"/>
    </row>
    <row r="16" spans="1:5">
      <c r="A16" s="130" t="s">
        <v>82</v>
      </c>
      <c r="B16" s="2"/>
      <c r="C16" s="247">
        <f>C5+C15</f>
        <v>257242413</v>
      </c>
      <c r="D16" s="247">
        <f>D5+D15</f>
        <v>185047093</v>
      </c>
      <c r="E16" s="2"/>
    </row>
    <row r="17" spans="1:5">
      <c r="A17" s="130"/>
      <c r="B17" s="2"/>
      <c r="C17" s="245"/>
      <c r="D17" s="245"/>
      <c r="E17" s="2"/>
    </row>
    <row r="18" spans="1:5">
      <c r="A18" s="130" t="s">
        <v>83</v>
      </c>
      <c r="B18" s="2"/>
      <c r="C18" s="245"/>
      <c r="D18" s="245"/>
      <c r="E18" s="2"/>
    </row>
    <row r="19" spans="1:5">
      <c r="A19" s="2" t="s">
        <v>84</v>
      </c>
      <c r="B19" s="244">
        <v>32</v>
      </c>
      <c r="C19" s="249">
        <v>97104258</v>
      </c>
      <c r="D19" s="250">
        <v>70093696</v>
      </c>
      <c r="E19" s="2"/>
    </row>
    <row r="20" spans="1:5">
      <c r="A20" s="2" t="s">
        <v>85</v>
      </c>
      <c r="B20" s="255"/>
      <c r="C20" s="251">
        <v>3145755</v>
      </c>
      <c r="D20" s="252">
        <v>2158813</v>
      </c>
      <c r="E20" s="2"/>
    </row>
    <row r="21" spans="1:5">
      <c r="A21" s="2" t="s">
        <v>86</v>
      </c>
      <c r="B21" s="244">
        <v>34</v>
      </c>
      <c r="C21" s="253">
        <v>75270</v>
      </c>
      <c r="D21" s="254">
        <v>240326</v>
      </c>
      <c r="E21" s="2"/>
    </row>
    <row r="22" spans="1:5">
      <c r="A22" s="2" t="s">
        <v>87</v>
      </c>
      <c r="B22" s="2"/>
      <c r="C22" s="245">
        <f>SUM(C19:C21)</f>
        <v>100325283</v>
      </c>
      <c r="D22" s="245">
        <f>SUM(D19:D21)</f>
        <v>72492835</v>
      </c>
      <c r="E22" s="2"/>
    </row>
    <row r="23" spans="1:5">
      <c r="A23" s="2"/>
      <c r="B23" s="2"/>
      <c r="C23" s="245"/>
      <c r="D23" s="245"/>
      <c r="E23" s="2"/>
    </row>
    <row r="24" spans="1:5">
      <c r="A24" s="2" t="s">
        <v>88</v>
      </c>
      <c r="B24" s="255"/>
      <c r="C24" s="245">
        <v>895183</v>
      </c>
      <c r="D24" s="245">
        <v>-989536</v>
      </c>
      <c r="E24" s="2"/>
    </row>
    <row r="25" spans="1:5">
      <c r="A25" s="2" t="s">
        <v>89</v>
      </c>
      <c r="B25" s="2"/>
      <c r="C25" s="247">
        <f>C16-C22+C24</f>
        <v>157812313</v>
      </c>
      <c r="D25" s="247">
        <f>D16-D22+D24</f>
        <v>111564722</v>
      </c>
      <c r="E25" s="2"/>
    </row>
    <row r="26" spans="1:5">
      <c r="A26" s="2" t="s">
        <v>90</v>
      </c>
      <c r="B26" s="244">
        <v>35</v>
      </c>
      <c r="C26" s="245">
        <v>12775474</v>
      </c>
      <c r="D26" s="245">
        <v>980157</v>
      </c>
      <c r="E26" s="2"/>
    </row>
    <row r="27" spans="1:5">
      <c r="A27" s="2" t="s">
        <v>91</v>
      </c>
      <c r="B27" s="2"/>
      <c r="C27" s="247">
        <f>C25-C26</f>
        <v>145036839</v>
      </c>
      <c r="D27" s="247">
        <f>D25-D26</f>
        <v>110584565</v>
      </c>
      <c r="E27" s="2"/>
    </row>
    <row r="28" spans="1:5">
      <c r="A28" s="2"/>
      <c r="B28" s="2"/>
      <c r="C28" s="245"/>
      <c r="D28" s="245"/>
      <c r="E28" s="2"/>
    </row>
    <row r="29" spans="1:5">
      <c r="A29" s="2" t="s">
        <v>92</v>
      </c>
      <c r="B29" s="244">
        <v>36</v>
      </c>
      <c r="C29" s="245">
        <v>70198005</v>
      </c>
      <c r="D29" s="245">
        <v>54113644</v>
      </c>
      <c r="E29" s="2"/>
    </row>
    <row r="30" spans="1:5">
      <c r="A30" s="2"/>
      <c r="B30" s="2"/>
      <c r="C30" s="245"/>
      <c r="D30" s="245"/>
      <c r="E30" s="2"/>
    </row>
    <row r="31" ht="16.25" spans="1:5">
      <c r="A31" s="130" t="s">
        <v>93</v>
      </c>
      <c r="B31" s="2"/>
      <c r="C31" s="256">
        <f>C27-C29</f>
        <v>74838834</v>
      </c>
      <c r="D31" s="256">
        <f>D27-D29</f>
        <v>56470921</v>
      </c>
      <c r="E31" s="2"/>
    </row>
    <row r="32" ht="16.25" spans="1:5">
      <c r="A32" s="2"/>
      <c r="B32" s="2"/>
      <c r="C32" s="245"/>
      <c r="D32" s="245"/>
      <c r="E32" s="2"/>
    </row>
    <row r="33" spans="1:5">
      <c r="A33" s="130" t="s">
        <v>94</v>
      </c>
      <c r="B33" s="2"/>
      <c r="C33" s="245"/>
      <c r="D33" s="245"/>
      <c r="E33" s="2"/>
    </row>
    <row r="34" spans="1:5">
      <c r="A34" s="2" t="s">
        <v>95</v>
      </c>
      <c r="B34" s="2"/>
      <c r="C34" s="245">
        <v>938610</v>
      </c>
      <c r="D34" s="245">
        <v>0</v>
      </c>
      <c r="E34" s="2"/>
    </row>
    <row r="35" ht="16.25" spans="1:5">
      <c r="A35" s="2"/>
      <c r="B35" s="2"/>
      <c r="C35" s="256">
        <f>C31+C34</f>
        <v>75777444</v>
      </c>
      <c r="D35" s="256">
        <f>D31+D34</f>
        <v>56470921</v>
      </c>
      <c r="E35" s="2"/>
    </row>
    <row r="36" ht="16.25" spans="1:5">
      <c r="A36" s="2"/>
      <c r="B36" s="2"/>
      <c r="C36" s="245"/>
      <c r="D36" s="245"/>
      <c r="E36" s="2"/>
    </row>
    <row r="37" spans="1:5">
      <c r="A37" s="130" t="s">
        <v>96</v>
      </c>
      <c r="B37" s="2"/>
      <c r="C37" s="245"/>
      <c r="D37" s="245"/>
      <c r="E37" s="2"/>
    </row>
    <row r="38" spans="1:5">
      <c r="A38" s="2" t="s">
        <v>97</v>
      </c>
      <c r="B38" s="2"/>
      <c r="C38" s="245"/>
      <c r="D38" s="245"/>
      <c r="E38" s="2"/>
    </row>
    <row r="39" spans="1:5">
      <c r="A39" s="2" t="s">
        <v>98</v>
      </c>
      <c r="B39" s="2"/>
      <c r="C39" s="245">
        <v>74823735</v>
      </c>
      <c r="D39" s="245">
        <v>55145075</v>
      </c>
      <c r="E39" s="2"/>
    </row>
    <row r="40" spans="1:5">
      <c r="A40" s="2" t="s">
        <v>99</v>
      </c>
      <c r="B40" s="2"/>
      <c r="C40" s="245">
        <v>332118</v>
      </c>
      <c r="D40" s="245">
        <v>0</v>
      </c>
      <c r="E40" s="2"/>
    </row>
    <row r="41" spans="1:5">
      <c r="A41" s="2"/>
      <c r="B41" s="2"/>
      <c r="C41" s="247">
        <f>C39+C40</f>
        <v>75155853</v>
      </c>
      <c r="D41" s="247">
        <f>D39+D40</f>
        <v>55145075</v>
      </c>
      <c r="E41" s="2"/>
    </row>
    <row r="42" spans="1:5">
      <c r="A42" s="2" t="s">
        <v>68</v>
      </c>
      <c r="B42" s="255"/>
      <c r="C42" s="245">
        <v>15099</v>
      </c>
      <c r="D42" s="245">
        <v>1325846</v>
      </c>
      <c r="E42" s="2"/>
    </row>
    <row r="43" spans="1:5">
      <c r="A43" s="2" t="s">
        <v>98</v>
      </c>
      <c r="B43" s="2"/>
      <c r="C43" s="245">
        <v>606492</v>
      </c>
      <c r="D43" s="245"/>
      <c r="E43" s="2"/>
    </row>
    <row r="44" spans="1:5">
      <c r="A44" s="2" t="s">
        <v>100</v>
      </c>
      <c r="B44" s="2"/>
      <c r="C44" s="247">
        <f>C42+C43</f>
        <v>621591</v>
      </c>
      <c r="D44" s="247">
        <f>D42+D43</f>
        <v>1325846</v>
      </c>
      <c r="E44" s="2"/>
    </row>
    <row r="45" ht="16.25" spans="1:5">
      <c r="A45" s="2"/>
      <c r="B45" s="2"/>
      <c r="C45" s="256">
        <f>C41+C44</f>
        <v>75777444</v>
      </c>
      <c r="D45" s="256">
        <f>D41+D44</f>
        <v>56470921</v>
      </c>
      <c r="E45" s="2"/>
    </row>
    <row r="46" ht="16.25" spans="1:5">
      <c r="A46" s="2"/>
      <c r="B46" s="2"/>
      <c r="C46" s="245" t="s">
        <v>101</v>
      </c>
      <c r="D46" s="245" t="s">
        <v>101</v>
      </c>
      <c r="E46" s="2"/>
    </row>
    <row r="47" spans="1:5">
      <c r="A47" s="130" t="s">
        <v>102</v>
      </c>
      <c r="B47" s="2"/>
      <c r="C47" s="245"/>
      <c r="D47" s="245"/>
      <c r="E47" s="2"/>
    </row>
    <row r="48" ht="16.25" spans="1:5">
      <c r="A48" s="2" t="s">
        <v>103</v>
      </c>
      <c r="B48" s="2"/>
      <c r="C48" s="257">
        <f>(C39/C52)*1000</f>
        <v>61.1215296206757</v>
      </c>
      <c r="D48" s="257">
        <f>(D39/C52)*1000</f>
        <v>45.0465528758606</v>
      </c>
      <c r="E48" s="2"/>
    </row>
    <row r="49" ht="16.25" spans="1:5">
      <c r="A49" s="130" t="s">
        <v>104</v>
      </c>
      <c r="B49" s="2"/>
      <c r="C49" s="258"/>
      <c r="D49" s="258"/>
      <c r="E49" s="2"/>
    </row>
    <row r="50" ht="16.25" spans="1:5">
      <c r="A50" s="2" t="s">
        <v>103</v>
      </c>
      <c r="B50" s="255"/>
      <c r="C50" s="257">
        <f>(C41/C52)*1000</f>
        <v>61.3928280285213</v>
      </c>
      <c r="D50" s="257">
        <f>(D41/C52)*1000</f>
        <v>45.0465528758606</v>
      </c>
      <c r="E50" s="2"/>
    </row>
    <row r="51" ht="16.25" spans="1:5">
      <c r="A51" s="2"/>
      <c r="B51" s="2"/>
      <c r="C51" s="245"/>
      <c r="D51" s="245"/>
      <c r="E51" s="2"/>
    </row>
    <row r="52" spans="1:5">
      <c r="A52" s="2" t="s">
        <v>105</v>
      </c>
      <c r="B52" s="2"/>
      <c r="C52" s="131">
        <v>1224179687</v>
      </c>
      <c r="D52" s="131"/>
      <c r="E52" s="2"/>
    </row>
    <row r="53" spans="1:5">
      <c r="A53" s="2"/>
      <c r="B53" s="2"/>
      <c r="C53" s="131"/>
      <c r="D53" s="131"/>
      <c r="E53" s="2"/>
    </row>
    <row r="54" spans="1:5">
      <c r="A54" s="2"/>
      <c r="B54" s="2"/>
      <c r="C54" s="131"/>
      <c r="D54" s="131"/>
      <c r="E54" s="2"/>
    </row>
    <row r="55" spans="1:5">
      <c r="E55" s="2"/>
    </row>
  </sheetData>
  <hyperlinks>
    <hyperlink ref="B3" location="'Supporting notes '!A322" display="27"/>
    <hyperlink ref="B4" location="'Supporting notes '!A331" display="28"/>
    <hyperlink ref="B8" location="'Supporting notes '!A342" display="29"/>
    <hyperlink ref="B12" location="'Supporting notes '!A361" display="30"/>
    <hyperlink ref="B14" location="'Supporting notes '!A367" display="31"/>
    <hyperlink ref="B19" location="'Supporting notes '!A376" display="32"/>
    <hyperlink ref="B21" location="'Supporting notes '!A428" display="34"/>
    <hyperlink ref="B26" location="'Supporting notes '!A434" display="35"/>
    <hyperlink ref="B29" location="'Supporting notes '!A446" display="36"/>
  </hyperlink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zoomScale="77" zoomScaleNormal="77"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5.5" outlineLevelCol="4"/>
  <cols>
    <col min="1" max="1" width="84" customWidth="1"/>
    <col min="2" max="2" width="28.5" style="108" customWidth="1"/>
    <col min="3" max="3" width="22.5833333333333" style="108" customWidth="1"/>
  </cols>
  <sheetData>
    <row r="1" ht="23.5" spans="1:5">
      <c r="A1" s="109" t="s">
        <v>106</v>
      </c>
      <c r="B1" s="230" t="s">
        <v>50</v>
      </c>
      <c r="C1" s="230" t="s">
        <v>51</v>
      </c>
    </row>
    <row r="2" spans="1:5">
      <c r="A2" s="231"/>
      <c r="B2" s="232" t="s">
        <v>52</v>
      </c>
      <c r="C2" s="232" t="s">
        <v>52</v>
      </c>
      <c r="D2" s="178"/>
      <c r="E2" s="178"/>
    </row>
    <row r="3" spans="1:5">
      <c r="A3" s="233" t="s">
        <v>107</v>
      </c>
      <c r="B3" s="234"/>
      <c r="C3" s="234"/>
      <c r="D3" s="178"/>
      <c r="E3" s="178"/>
    </row>
    <row r="4" spans="1:5">
      <c r="A4" s="231" t="s">
        <v>97</v>
      </c>
      <c r="B4" s="234">
        <v>75155853</v>
      </c>
      <c r="C4" s="234">
        <v>55145075</v>
      </c>
      <c r="D4" s="178"/>
      <c r="E4" s="178"/>
    </row>
    <row r="5" spans="1:5">
      <c r="A5" s="231" t="s">
        <v>68</v>
      </c>
      <c r="B5" s="234">
        <v>621591</v>
      </c>
      <c r="C5" s="234">
        <v>1325846</v>
      </c>
      <c r="D5" s="178"/>
      <c r="E5" s="178"/>
    </row>
    <row r="6" spans="1:5">
      <c r="A6" s="231"/>
      <c r="B6" s="235">
        <f>B4+B5</f>
        <v>75777444</v>
      </c>
      <c r="C6" s="235">
        <f>C4+C5</f>
        <v>56470921</v>
      </c>
      <c r="D6" s="178"/>
      <c r="E6" s="178"/>
    </row>
    <row r="7" spans="1:5">
      <c r="A7" s="233" t="s">
        <v>108</v>
      </c>
      <c r="B7" s="234"/>
      <c r="C7" s="234"/>
      <c r="D7" s="178"/>
      <c r="E7" s="178"/>
    </row>
    <row r="8" spans="1:5">
      <c r="A8" s="233"/>
      <c r="B8" s="234"/>
      <c r="C8" s="234"/>
      <c r="D8" s="178"/>
      <c r="E8" s="178"/>
    </row>
    <row r="9" spans="1:5">
      <c r="A9" s="233" t="s">
        <v>109</v>
      </c>
      <c r="B9" s="234"/>
      <c r="C9" s="234"/>
      <c r="D9" s="178"/>
      <c r="E9" s="178"/>
    </row>
    <row r="10" spans="1:5">
      <c r="A10" s="233"/>
      <c r="B10" s="234"/>
      <c r="C10" s="234"/>
      <c r="D10" s="178"/>
      <c r="E10" s="178"/>
    </row>
    <row r="11" spans="1:5">
      <c r="A11" s="233" t="s">
        <v>110</v>
      </c>
      <c r="B11" s="234"/>
      <c r="C11" s="234"/>
      <c r="D11" s="178"/>
      <c r="E11" s="178"/>
    </row>
    <row r="12" spans="1:5">
      <c r="A12" s="231"/>
      <c r="B12" s="234"/>
      <c r="C12" s="234"/>
      <c r="D12" s="178"/>
      <c r="E12" s="178"/>
    </row>
    <row r="13" spans="1:5">
      <c r="A13" s="231" t="s">
        <v>97</v>
      </c>
      <c r="B13" s="236">
        <v>-1382628</v>
      </c>
      <c r="C13" s="237">
        <v>19564664</v>
      </c>
      <c r="D13" s="178"/>
      <c r="E13" s="178"/>
    </row>
    <row r="14" spans="1:5">
      <c r="A14" s="231" t="s">
        <v>68</v>
      </c>
      <c r="B14" s="238">
        <v>-217940</v>
      </c>
      <c r="C14" s="239">
        <v>2739248</v>
      </c>
      <c r="D14" s="178"/>
      <c r="E14" s="178"/>
    </row>
    <row r="15" spans="1:5">
      <c r="A15" s="231"/>
      <c r="B15" s="234">
        <f>B13+B14</f>
        <v>-1600568</v>
      </c>
      <c r="C15" s="234">
        <f>C13+C14</f>
        <v>22303912</v>
      </c>
      <c r="D15" s="178"/>
      <c r="E15" s="178"/>
    </row>
    <row r="16" spans="1:5">
      <c r="A16" s="231" t="s">
        <v>111</v>
      </c>
      <c r="B16" s="234">
        <v>-8706711</v>
      </c>
      <c r="C16" s="234">
        <v>0</v>
      </c>
      <c r="D16" s="178"/>
      <c r="E16" s="178"/>
    </row>
    <row r="17" spans="1:5">
      <c r="A17" s="231"/>
      <c r="B17" s="235">
        <f>B15+B16</f>
        <v>-10307279</v>
      </c>
      <c r="C17" s="235">
        <f>C15-C16</f>
        <v>22303912</v>
      </c>
      <c r="D17" s="178"/>
      <c r="E17" s="178"/>
    </row>
    <row r="18" spans="1:5">
      <c r="A18" s="231" t="s">
        <v>112</v>
      </c>
      <c r="B18" s="234"/>
      <c r="C18" s="234"/>
      <c r="D18" s="178"/>
      <c r="E18" s="178"/>
    </row>
    <row r="19" spans="1:5">
      <c r="A19" s="231" t="s">
        <v>97</v>
      </c>
      <c r="B19" s="236">
        <v>33607524</v>
      </c>
      <c r="C19" s="237">
        <v>23880646</v>
      </c>
      <c r="D19" s="178"/>
      <c r="E19" s="178"/>
    </row>
    <row r="20" spans="1:5">
      <c r="A20" s="231" t="s">
        <v>68</v>
      </c>
      <c r="B20" s="238">
        <v>405717</v>
      </c>
      <c r="C20" s="239">
        <v>922755</v>
      </c>
      <c r="D20" s="178"/>
      <c r="E20" s="178"/>
    </row>
    <row r="21" spans="1:5">
      <c r="A21" s="231"/>
      <c r="B21" s="234">
        <f>B19+B20</f>
        <v>34013241</v>
      </c>
      <c r="C21" s="234">
        <f>C19+C20</f>
        <v>24803401</v>
      </c>
      <c r="D21" s="178"/>
      <c r="E21" s="178"/>
    </row>
    <row r="22" spans="1:5">
      <c r="A22" s="231"/>
      <c r="B22" s="235">
        <f>B17+B21</f>
        <v>23705962</v>
      </c>
      <c r="C22" s="235">
        <f>C17+C21</f>
        <v>47107313</v>
      </c>
      <c r="D22" s="178"/>
      <c r="E22" s="178"/>
    </row>
    <row r="23" spans="1:5">
      <c r="A23" s="233" t="s">
        <v>113</v>
      </c>
      <c r="B23" s="234"/>
      <c r="C23" s="234"/>
      <c r="D23" s="178"/>
      <c r="E23" s="178"/>
    </row>
    <row r="24" spans="1:5">
      <c r="A24" s="231"/>
      <c r="B24" s="234"/>
      <c r="C24" s="234"/>
      <c r="D24" s="178"/>
      <c r="E24" s="178"/>
    </row>
    <row r="25" spans="1:5">
      <c r="A25" s="231" t="s">
        <v>114</v>
      </c>
      <c r="B25" s="234"/>
      <c r="C25" s="234"/>
      <c r="D25" s="178"/>
      <c r="E25" s="178"/>
    </row>
    <row r="26" spans="1:5">
      <c r="A26" s="231" t="s">
        <v>97</v>
      </c>
      <c r="B26" s="236">
        <v>4197565</v>
      </c>
      <c r="C26" s="237">
        <v>1122792</v>
      </c>
      <c r="D26" s="178"/>
      <c r="E26" s="178"/>
    </row>
    <row r="27" spans="1:5">
      <c r="A27" s="231" t="s">
        <v>68</v>
      </c>
      <c r="B27" s="238">
        <v>370</v>
      </c>
      <c r="C27" s="239">
        <v>49480</v>
      </c>
      <c r="D27" s="178"/>
      <c r="E27" s="178"/>
    </row>
    <row r="28" spans="1:5">
      <c r="A28" s="231"/>
      <c r="B28" s="234">
        <f>B26+B27</f>
        <v>4197935</v>
      </c>
      <c r="C28" s="234">
        <f>C26+C27</f>
        <v>1172272</v>
      </c>
      <c r="D28" s="178"/>
      <c r="E28" s="178"/>
    </row>
    <row r="29" spans="1:5">
      <c r="A29" s="231" t="s">
        <v>115</v>
      </c>
      <c r="B29" s="234"/>
      <c r="C29" s="234"/>
      <c r="D29" s="178"/>
      <c r="E29" s="178"/>
    </row>
    <row r="30" spans="1:5">
      <c r="A30" s="231" t="s">
        <v>97</v>
      </c>
      <c r="B30" s="236">
        <v>4856315</v>
      </c>
      <c r="C30" s="237">
        <v>1688431</v>
      </c>
      <c r="D30" s="178"/>
      <c r="E30" s="178"/>
    </row>
    <row r="31" spans="1:5">
      <c r="A31" s="231" t="s">
        <v>68</v>
      </c>
      <c r="B31" s="238">
        <v>0</v>
      </c>
      <c r="C31" s="240">
        <v>0</v>
      </c>
      <c r="D31" s="178"/>
      <c r="E31" s="178"/>
    </row>
    <row r="32" spans="1:5">
      <c r="A32" s="231"/>
      <c r="B32" s="234">
        <f>B30+B31</f>
        <v>4856315</v>
      </c>
      <c r="C32" s="234">
        <f>C30+C31</f>
        <v>1688431</v>
      </c>
      <c r="D32" s="178"/>
      <c r="E32" s="178"/>
    </row>
    <row r="33" spans="1:5">
      <c r="A33" s="231" t="s">
        <v>116</v>
      </c>
      <c r="B33" s="234"/>
      <c r="C33" s="234"/>
      <c r="D33" s="178"/>
      <c r="E33" s="178"/>
    </row>
    <row r="34" spans="1:5">
      <c r="A34" s="231" t="s">
        <v>97</v>
      </c>
      <c r="B34" s="236">
        <v>252545</v>
      </c>
      <c r="C34" s="237">
        <v>915183</v>
      </c>
      <c r="D34" s="178"/>
      <c r="E34" s="178"/>
    </row>
    <row r="35" spans="1:5">
      <c r="A35" s="231" t="s">
        <v>68</v>
      </c>
      <c r="B35" s="238">
        <v>-74091</v>
      </c>
      <c r="C35" s="239">
        <v>741749</v>
      </c>
      <c r="D35" s="178"/>
      <c r="E35" s="178"/>
    </row>
    <row r="36" spans="1:5">
      <c r="A36" s="231"/>
      <c r="B36" s="234">
        <f>B34+B35</f>
        <v>178454</v>
      </c>
      <c r="C36" s="234">
        <f>C34+C35</f>
        <v>1656932</v>
      </c>
      <c r="D36" s="178"/>
      <c r="E36" s="178"/>
    </row>
    <row r="37" spans="1:5">
      <c r="A37" s="231" t="s">
        <v>117</v>
      </c>
      <c r="B37" s="234"/>
      <c r="C37" s="234"/>
      <c r="D37" s="178"/>
      <c r="E37" s="178"/>
    </row>
    <row r="38" spans="1:5">
      <c r="A38" s="231" t="s">
        <v>97</v>
      </c>
      <c r="B38" s="234">
        <v>1146</v>
      </c>
      <c r="C38" s="234">
        <v>0</v>
      </c>
      <c r="D38" s="178"/>
      <c r="E38" s="178"/>
    </row>
    <row r="39" spans="1:5">
      <c r="A39" s="231"/>
      <c r="B39" s="235">
        <f>SUM(B28,B32,B36,B38)</f>
        <v>9233850</v>
      </c>
      <c r="C39" s="235">
        <f>SUM(C28,C32,C36,C38)</f>
        <v>4517635</v>
      </c>
      <c r="D39" s="178"/>
      <c r="E39" s="178"/>
    </row>
    <row r="40" ht="16.25" spans="1:5">
      <c r="A40" s="233" t="s">
        <v>118</v>
      </c>
      <c r="B40" s="241">
        <f>SUM(B6+B22+B39)</f>
        <v>108717256</v>
      </c>
      <c r="C40" s="241">
        <f>SUM(C6+C22+C39)</f>
        <v>108095869</v>
      </c>
      <c r="D40" s="178"/>
      <c r="E40" s="178"/>
    </row>
    <row r="41" ht="16.25" spans="1:5">
      <c r="A41" s="231"/>
      <c r="B41" s="234"/>
      <c r="C41" s="234"/>
      <c r="D41" s="178"/>
      <c r="E41" s="178"/>
    </row>
    <row r="42" spans="1:5">
      <c r="A42" s="233" t="s">
        <v>96</v>
      </c>
      <c r="B42" s="234"/>
      <c r="C42" s="234"/>
      <c r="D42" s="178"/>
      <c r="E42" s="178"/>
    </row>
    <row r="43" spans="1:5">
      <c r="A43" s="231" t="s">
        <v>97</v>
      </c>
      <c r="B43" s="234">
        <v>107981609</v>
      </c>
      <c r="C43" s="234">
        <v>102316791</v>
      </c>
      <c r="D43" s="178"/>
      <c r="E43" s="178"/>
    </row>
    <row r="44" spans="1:5">
      <c r="A44" s="231" t="s">
        <v>68</v>
      </c>
      <c r="B44" s="234">
        <v>735647</v>
      </c>
      <c r="C44" s="234">
        <v>5779078</v>
      </c>
      <c r="D44" s="178"/>
      <c r="E44" s="178"/>
    </row>
    <row r="45" ht="16.25" spans="1:5">
      <c r="A45" s="231"/>
      <c r="B45" s="241">
        <f>SUM(B43:B44)</f>
        <v>108717256</v>
      </c>
      <c r="C45" s="241">
        <f>SUM(C43:C44)</f>
        <v>108095869</v>
      </c>
      <c r="D45" s="178"/>
      <c r="E45" s="178"/>
    </row>
    <row r="46" ht="16.25" spans="1:5">
      <c r="D46" s="178"/>
      <c r="E46" s="178"/>
    </row>
    <row r="47" spans="1:5">
      <c r="D47" s="178"/>
      <c r="E47" s="178"/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9"/>
  <sheetViews>
    <sheetView zoomScale="75" zoomScaleNormal="75" workbookViewId="0">
      <selection activeCell="A1" sqref="A1"/>
    </sheetView>
  </sheetViews>
  <sheetFormatPr defaultColWidth="8.66666666666667" defaultRowHeight="15.5"/>
  <cols>
    <col min="1" max="1" width="104.883333333333" customWidth="1"/>
    <col min="2" max="2" width="38.3333333333333" customWidth="1"/>
    <col min="3" max="3" width="29.1666666666667" customWidth="1"/>
    <col min="4" max="4" width="45" customWidth="1"/>
    <col min="5" max="5" width="34.5" customWidth="1"/>
    <col min="6" max="6" width="70.3333333333333" customWidth="1"/>
    <col min="7" max="7" width="39.0833333333333" customWidth="1"/>
    <col min="8" max="8" width="41.5" customWidth="1"/>
    <col min="9" max="9" width="47.4166666666667" customWidth="1"/>
    <col min="10" max="10" width="31.3333333333333" customWidth="1"/>
    <col min="11" max="11" width="42.1666666666667" customWidth="1"/>
    <col min="12" max="12" width="17.05" customWidth="1"/>
    <col min="13" max="13" width="47.75" customWidth="1"/>
  </cols>
  <sheetData>
    <row r="1" s="143" customFormat="1" ht="24.25" spans="1:22">
      <c r="A1" s="109" t="s">
        <v>119</v>
      </c>
      <c r="B1" s="108" t="s">
        <v>120</v>
      </c>
      <c r="C1" s="108" t="s">
        <v>121</v>
      </c>
      <c r="D1" s="108" t="s">
        <v>122</v>
      </c>
      <c r="E1" s="108" t="s">
        <v>123</v>
      </c>
      <c r="F1" s="108" t="s">
        <v>124</v>
      </c>
      <c r="G1" s="108" t="s">
        <v>125</v>
      </c>
      <c r="H1" s="108" t="s">
        <v>126</v>
      </c>
      <c r="I1" s="108" t="s">
        <v>127</v>
      </c>
      <c r="J1" s="108" t="s">
        <v>128</v>
      </c>
      <c r="K1" s="108" t="s">
        <v>129</v>
      </c>
      <c r="L1" s="144" t="s">
        <v>130</v>
      </c>
      <c r="M1" s="144" t="s">
        <v>131</v>
      </c>
    </row>
    <row r="2" ht="18.75" spans="1:22">
      <c r="A2" s="125"/>
      <c r="B2" s="145"/>
      <c r="C2" s="146"/>
      <c r="D2" s="145" t="s">
        <v>132</v>
      </c>
      <c r="E2" s="146"/>
      <c r="F2" s="145"/>
      <c r="G2" s="146"/>
      <c r="H2" s="146"/>
      <c r="I2" s="146"/>
      <c r="J2" s="147"/>
      <c r="K2" s="148"/>
      <c r="L2" s="149"/>
      <c r="M2" s="149"/>
      <c r="N2" s="150"/>
    </row>
    <row r="3" ht="18.75" spans="1:22">
      <c r="A3" s="125"/>
      <c r="B3" s="151" t="s">
        <v>63</v>
      </c>
      <c r="C3" s="152" t="s">
        <v>133</v>
      </c>
      <c r="D3" s="153" t="s">
        <v>134</v>
      </c>
      <c r="E3" s="154"/>
      <c r="F3" s="155" t="s">
        <v>135</v>
      </c>
      <c r="G3" s="156"/>
      <c r="H3" s="157" t="s">
        <v>66</v>
      </c>
      <c r="I3" s="157" t="s">
        <v>136</v>
      </c>
      <c r="J3" s="158" t="s">
        <v>137</v>
      </c>
      <c r="K3" s="158" t="s">
        <v>138</v>
      </c>
      <c r="L3" s="159"/>
      <c r="M3" s="160"/>
    </row>
    <row r="4" ht="18.75" spans="1:22">
      <c r="A4" s="125"/>
      <c r="B4" s="161"/>
      <c r="C4" s="162"/>
      <c r="D4" s="163"/>
      <c r="E4" s="164" t="s">
        <v>30</v>
      </c>
      <c r="F4" s="165" t="s">
        <v>32</v>
      </c>
      <c r="G4" s="166" t="s">
        <v>139</v>
      </c>
      <c r="H4" s="167"/>
      <c r="I4" s="167"/>
      <c r="J4" s="168"/>
      <c r="K4" s="169"/>
      <c r="L4" s="170"/>
      <c r="M4" s="160"/>
    </row>
    <row r="5" ht="16.25" spans="1:22">
      <c r="A5" s="125"/>
      <c r="B5" s="171" t="s">
        <v>140</v>
      </c>
      <c r="C5" s="171" t="s">
        <v>140</v>
      </c>
      <c r="D5" s="171" t="s">
        <v>140</v>
      </c>
      <c r="E5" s="171" t="s">
        <v>140</v>
      </c>
      <c r="F5" s="171" t="s">
        <v>141</v>
      </c>
      <c r="G5" s="171" t="s">
        <v>140</v>
      </c>
      <c r="H5" s="171" t="s">
        <v>141</v>
      </c>
      <c r="I5" s="171" t="s">
        <v>140</v>
      </c>
      <c r="J5" s="171" t="s">
        <v>141</v>
      </c>
      <c r="K5" s="171" t="s">
        <v>140</v>
      </c>
      <c r="L5" s="125"/>
      <c r="M5" s="160"/>
    </row>
    <row r="6" ht="16.25" spans="1:22">
      <c r="A6" s="172" t="s">
        <v>142</v>
      </c>
      <c r="B6" s="173">
        <v>12241797</v>
      </c>
      <c r="C6" s="173">
        <v>41560081</v>
      </c>
      <c r="D6" s="173">
        <v>50328629</v>
      </c>
      <c r="E6" s="173">
        <v>-22788440</v>
      </c>
      <c r="F6" s="173">
        <v>42442737</v>
      </c>
      <c r="G6" s="173">
        <v>0</v>
      </c>
      <c r="H6" s="173">
        <v>96282169</v>
      </c>
      <c r="I6" s="173">
        <v>220006973</v>
      </c>
      <c r="J6" s="173">
        <v>9125301</v>
      </c>
      <c r="K6" s="173">
        <f>I6+J6</f>
        <v>229132274</v>
      </c>
      <c r="M6" s="174"/>
    </row>
    <row r="7" ht="16.25" spans="1:22">
      <c r="A7" s="175" t="s">
        <v>143</v>
      </c>
      <c r="B7" s="176"/>
      <c r="C7" s="176"/>
      <c r="D7" s="176"/>
      <c r="E7" s="176"/>
      <c r="F7" s="176"/>
      <c r="G7" s="176"/>
      <c r="H7" s="176"/>
      <c r="I7" s="176"/>
      <c r="J7" s="176"/>
      <c r="K7" s="177"/>
      <c r="L7" s="178"/>
      <c r="M7" s="160"/>
    </row>
    <row r="8" ht="16.25" spans="1:22">
      <c r="A8" s="179" t="s">
        <v>144</v>
      </c>
      <c r="B8" s="180">
        <v>0</v>
      </c>
      <c r="C8" s="181">
        <v>0</v>
      </c>
      <c r="D8" s="182">
        <v>0</v>
      </c>
      <c r="E8" s="183"/>
      <c r="F8" s="181"/>
      <c r="G8" s="182">
        <v>0</v>
      </c>
      <c r="H8" s="182">
        <v>55145075</v>
      </c>
      <c r="I8" s="182">
        <f>SUM(B8:H8)</f>
        <v>55145075</v>
      </c>
      <c r="J8" s="182">
        <v>1325846</v>
      </c>
      <c r="K8" s="182">
        <f t="shared" ref="K8:K14" si="0">I8+J8</f>
        <v>56470921</v>
      </c>
      <c r="L8" s="178"/>
      <c r="M8" s="184"/>
    </row>
    <row r="9" ht="16.25" spans="1:22">
      <c r="A9" s="179" t="s">
        <v>145</v>
      </c>
      <c r="B9" s="185">
        <v>0</v>
      </c>
      <c r="C9" s="186">
        <v>0</v>
      </c>
      <c r="D9" s="187">
        <v>19564664</v>
      </c>
      <c r="E9" s="188">
        <v>25569077</v>
      </c>
      <c r="F9" s="188">
        <v>915183</v>
      </c>
      <c r="G9" s="188">
        <v>0</v>
      </c>
      <c r="H9" s="188">
        <v>1122792</v>
      </c>
      <c r="I9" s="188">
        <f>SUM(B9:H9)</f>
        <v>47171716</v>
      </c>
      <c r="J9" s="188">
        <v>4453232</v>
      </c>
      <c r="K9" s="188">
        <f t="shared" si="0"/>
        <v>51624948</v>
      </c>
      <c r="L9" s="178"/>
      <c r="M9" s="184"/>
    </row>
    <row r="10" ht="16.25" spans="1:22">
      <c r="A10" s="179" t="s">
        <v>143</v>
      </c>
      <c r="B10" s="189">
        <f>SUM(B8:B9)</f>
        <v>0</v>
      </c>
      <c r="C10" s="189">
        <f t="shared" ref="C10:K10" si="1">SUM(C8:C9)</f>
        <v>0</v>
      </c>
      <c r="D10" s="189">
        <f t="shared" si="1"/>
        <v>19564664</v>
      </c>
      <c r="E10" s="189">
        <f t="shared" si="1"/>
        <v>25569077</v>
      </c>
      <c r="F10" s="189">
        <f t="shared" si="1"/>
        <v>915183</v>
      </c>
      <c r="G10" s="189">
        <f t="shared" si="1"/>
        <v>0</v>
      </c>
      <c r="H10" s="189">
        <f t="shared" si="1"/>
        <v>56267867</v>
      </c>
      <c r="I10" s="189">
        <f t="shared" si="1"/>
        <v>102316791</v>
      </c>
      <c r="J10" s="189">
        <f t="shared" si="1"/>
        <v>5779078</v>
      </c>
      <c r="K10" s="189">
        <f t="shared" si="0"/>
        <v>108095869</v>
      </c>
      <c r="L10" s="178"/>
      <c r="M10" s="190"/>
      <c r="N10" s="191"/>
      <c r="O10" s="160"/>
      <c r="P10" s="160"/>
      <c r="Q10" s="160"/>
      <c r="R10" s="174"/>
      <c r="S10" s="160"/>
      <c r="T10" s="160"/>
      <c r="U10" s="160"/>
      <c r="V10" s="160"/>
    </row>
    <row r="11" ht="16.25" spans="1:22">
      <c r="A11" s="179" t="s">
        <v>146</v>
      </c>
      <c r="B11" s="176">
        <v>0</v>
      </c>
      <c r="C11" s="176">
        <v>0</v>
      </c>
      <c r="D11" s="176">
        <v>0</v>
      </c>
      <c r="E11" s="176">
        <v>0</v>
      </c>
      <c r="F11" s="176">
        <v>-1474233</v>
      </c>
      <c r="G11" s="176">
        <v>0</v>
      </c>
      <c r="H11" s="176">
        <v>1474233</v>
      </c>
      <c r="I11" s="176">
        <v>0</v>
      </c>
      <c r="J11" s="176">
        <v>0</v>
      </c>
      <c r="K11" s="177">
        <f t="shared" si="0"/>
        <v>0</v>
      </c>
      <c r="L11" s="178"/>
      <c r="M11" s="192"/>
      <c r="N11" s="125"/>
      <c r="O11" s="125"/>
      <c r="P11" s="125"/>
      <c r="Q11" s="125"/>
      <c r="R11" s="125"/>
      <c r="S11" s="125"/>
      <c r="T11" s="125"/>
      <c r="U11" s="125"/>
      <c r="V11" s="174"/>
    </row>
    <row r="12" ht="16.25" spans="1:22">
      <c r="A12" s="179" t="s">
        <v>147</v>
      </c>
      <c r="B12" s="176">
        <v>0</v>
      </c>
      <c r="C12" s="176">
        <v>0</v>
      </c>
      <c r="D12" s="189">
        <v>0</v>
      </c>
      <c r="E12" s="176">
        <v>0</v>
      </c>
      <c r="F12" s="176">
        <v>-88377</v>
      </c>
      <c r="G12" s="176">
        <v>0</v>
      </c>
      <c r="H12" s="176">
        <v>88377</v>
      </c>
      <c r="I12" s="176">
        <v>0</v>
      </c>
      <c r="J12" s="176">
        <v>0</v>
      </c>
      <c r="K12" s="177">
        <f t="shared" si="0"/>
        <v>0</v>
      </c>
      <c r="L12" s="178"/>
      <c r="M12" s="193"/>
      <c r="N12" s="125"/>
      <c r="O12" s="194"/>
      <c r="P12" s="194"/>
      <c r="Q12" s="194"/>
      <c r="R12" s="125"/>
      <c r="S12" s="194"/>
      <c r="T12" s="194"/>
      <c r="U12" s="194"/>
      <c r="V12" s="160"/>
    </row>
    <row r="13" ht="16.25" spans="1:22">
      <c r="A13" s="179" t="s">
        <v>148</v>
      </c>
      <c r="B13" s="176">
        <v>0</v>
      </c>
      <c r="C13" s="176">
        <v>5318042</v>
      </c>
      <c r="D13" s="176">
        <v>0</v>
      </c>
      <c r="E13" s="176">
        <v>0</v>
      </c>
      <c r="F13" s="176">
        <v>0</v>
      </c>
      <c r="G13" s="176">
        <v>0</v>
      </c>
      <c r="H13" s="176">
        <v>-5318042</v>
      </c>
      <c r="I13" s="176">
        <v>0</v>
      </c>
      <c r="J13" s="176">
        <v>0</v>
      </c>
      <c r="K13" s="177">
        <f t="shared" si="0"/>
        <v>0</v>
      </c>
      <c r="L13" s="178"/>
      <c r="M13" s="193"/>
      <c r="N13" s="125"/>
      <c r="O13" s="125"/>
      <c r="P13" s="125"/>
      <c r="Q13" s="125"/>
      <c r="R13" s="125"/>
      <c r="S13" s="194"/>
      <c r="T13" s="194"/>
      <c r="U13" s="194"/>
      <c r="V13" s="160"/>
    </row>
    <row r="14" ht="16.25" spans="1:22">
      <c r="A14" s="179" t="s">
        <v>149</v>
      </c>
      <c r="B14" s="176">
        <v>0</v>
      </c>
      <c r="C14" s="176">
        <v>0</v>
      </c>
      <c r="D14" s="176">
        <v>0</v>
      </c>
      <c r="E14" s="176">
        <v>0</v>
      </c>
      <c r="F14" s="176">
        <v>0</v>
      </c>
      <c r="G14" s="176">
        <v>0</v>
      </c>
      <c r="H14" s="176">
        <v>0</v>
      </c>
      <c r="I14" s="176">
        <v>0</v>
      </c>
      <c r="J14" s="176">
        <v>0</v>
      </c>
      <c r="K14" s="177">
        <f t="shared" si="0"/>
        <v>0</v>
      </c>
      <c r="L14" s="178"/>
      <c r="M14" s="188"/>
      <c r="N14" s="125"/>
      <c r="O14" s="194"/>
      <c r="P14" s="194"/>
      <c r="Q14" s="194"/>
      <c r="R14" s="125"/>
      <c r="S14" s="194"/>
      <c r="T14" s="194"/>
      <c r="U14" s="194"/>
      <c r="V14" s="160"/>
    </row>
    <row r="15" ht="16.25" spans="1:22">
      <c r="A15" s="175" t="s">
        <v>150</v>
      </c>
      <c r="B15" s="176"/>
      <c r="C15" s="176"/>
      <c r="D15" s="176"/>
      <c r="E15" s="176"/>
      <c r="F15" s="176"/>
      <c r="G15" s="176">
        <v>0</v>
      </c>
      <c r="H15" s="176"/>
      <c r="I15" s="176"/>
      <c r="J15" s="176"/>
      <c r="K15" s="177"/>
      <c r="L15" s="178"/>
      <c r="M15" s="125"/>
      <c r="N15" s="125"/>
      <c r="O15" s="125"/>
      <c r="P15" s="194"/>
      <c r="Q15" s="125"/>
      <c r="R15" s="125"/>
      <c r="S15" s="194"/>
      <c r="T15" s="125"/>
      <c r="U15" s="125"/>
      <c r="V15" s="174"/>
    </row>
    <row r="16" ht="16.25" spans="1:22">
      <c r="A16" s="179" t="s">
        <v>151</v>
      </c>
      <c r="B16" s="181">
        <v>0</v>
      </c>
      <c r="C16" s="180">
        <v>0</v>
      </c>
      <c r="D16" s="181">
        <v>0</v>
      </c>
      <c r="E16" s="181">
        <v>0</v>
      </c>
      <c r="F16" s="181">
        <v>0</v>
      </c>
      <c r="G16" s="181">
        <v>0</v>
      </c>
      <c r="H16" s="181">
        <v>-11017617</v>
      </c>
      <c r="I16" s="181">
        <v>-11017617</v>
      </c>
      <c r="J16" s="181">
        <v>0</v>
      </c>
      <c r="K16" s="181">
        <f t="shared" ref="K16:K25" si="2">I16+J16</f>
        <v>-11017617</v>
      </c>
      <c r="L16" s="178"/>
      <c r="M16" s="125"/>
      <c r="N16" s="125"/>
      <c r="O16" s="125"/>
      <c r="P16" s="125"/>
      <c r="Q16" s="194"/>
      <c r="R16" s="125"/>
      <c r="S16" s="194"/>
      <c r="T16" s="125"/>
      <c r="U16" s="125"/>
      <c r="V16" s="174"/>
    </row>
    <row r="17" ht="16.25" spans="1:22">
      <c r="A17" s="179" t="s">
        <v>152</v>
      </c>
      <c r="B17" s="195">
        <v>0</v>
      </c>
      <c r="C17" s="196">
        <v>0</v>
      </c>
      <c r="D17" s="195">
        <v>0</v>
      </c>
      <c r="E17" s="195">
        <v>0</v>
      </c>
      <c r="F17" s="195">
        <v>0</v>
      </c>
      <c r="G17" s="195">
        <v>0</v>
      </c>
      <c r="H17" s="195">
        <v>-13465977</v>
      </c>
      <c r="I17" s="195">
        <v>-13465977</v>
      </c>
      <c r="J17" s="195">
        <v>0</v>
      </c>
      <c r="K17" s="195">
        <f t="shared" si="2"/>
        <v>-13465977</v>
      </c>
      <c r="L17" s="178"/>
      <c r="M17" s="125"/>
      <c r="N17" s="194"/>
      <c r="O17" s="125"/>
      <c r="P17" s="125"/>
      <c r="Q17" s="125"/>
      <c r="R17" s="125"/>
      <c r="S17" s="194"/>
      <c r="T17" s="125"/>
      <c r="U17" s="125"/>
      <c r="V17" s="174"/>
    </row>
    <row r="18" ht="16.25" spans="1:22">
      <c r="A18" s="179" t="s">
        <v>153</v>
      </c>
      <c r="B18" s="195">
        <v>0</v>
      </c>
      <c r="C18" s="196">
        <v>0</v>
      </c>
      <c r="D18" s="195">
        <v>0</v>
      </c>
      <c r="E18" s="195">
        <v>0</v>
      </c>
      <c r="F18" s="195">
        <v>0</v>
      </c>
      <c r="G18" s="195">
        <v>0</v>
      </c>
      <c r="H18" s="195">
        <v>-13465977</v>
      </c>
      <c r="I18" s="195">
        <v>-13465977</v>
      </c>
      <c r="J18" s="195">
        <v>0</v>
      </c>
      <c r="K18" s="195">
        <f t="shared" si="2"/>
        <v>-13465977</v>
      </c>
      <c r="L18" s="178"/>
      <c r="M18" s="125"/>
      <c r="N18" s="125"/>
      <c r="O18" s="125"/>
      <c r="P18" s="125"/>
      <c r="Q18" s="125"/>
      <c r="R18" s="125"/>
      <c r="S18" s="125"/>
      <c r="T18" s="125"/>
      <c r="U18" s="125"/>
      <c r="V18" s="174"/>
    </row>
    <row r="19" ht="16.25" spans="1:22">
      <c r="A19" s="179" t="s">
        <v>154</v>
      </c>
      <c r="B19" s="186">
        <v>0</v>
      </c>
      <c r="C19" s="185">
        <v>0</v>
      </c>
      <c r="D19" s="186">
        <v>0</v>
      </c>
      <c r="E19" s="186">
        <v>0</v>
      </c>
      <c r="F19" s="186">
        <v>0</v>
      </c>
      <c r="G19" s="186">
        <v>0</v>
      </c>
      <c r="H19" s="186">
        <v>-13465977</v>
      </c>
      <c r="I19" s="186">
        <v>-13465977</v>
      </c>
      <c r="J19" s="186">
        <v>0</v>
      </c>
      <c r="K19" s="186">
        <f t="shared" si="2"/>
        <v>-13465977</v>
      </c>
      <c r="L19" s="178"/>
      <c r="M19" s="125"/>
      <c r="N19" s="125"/>
      <c r="O19" s="125"/>
      <c r="P19" s="125"/>
      <c r="Q19" s="125"/>
      <c r="R19" s="125"/>
      <c r="S19" s="125"/>
      <c r="T19" s="125"/>
      <c r="U19" s="125"/>
      <c r="V19" s="174"/>
    </row>
    <row r="20" ht="16.25" spans="1:22">
      <c r="A20" s="179"/>
      <c r="B20" s="189">
        <f>SUM(B16:B19)</f>
        <v>0</v>
      </c>
      <c r="C20" s="189">
        <f t="shared" ref="C20:K20" si="3">SUM(C16:C19)</f>
        <v>0</v>
      </c>
      <c r="D20" s="189">
        <f t="shared" si="3"/>
        <v>0</v>
      </c>
      <c r="E20" s="189">
        <f t="shared" si="3"/>
        <v>0</v>
      </c>
      <c r="F20" s="189">
        <f t="shared" si="3"/>
        <v>0</v>
      </c>
      <c r="G20" s="189">
        <f t="shared" si="3"/>
        <v>0</v>
      </c>
      <c r="H20" s="189">
        <f t="shared" si="3"/>
        <v>-51415548</v>
      </c>
      <c r="I20" s="189">
        <f t="shared" si="3"/>
        <v>-51415548</v>
      </c>
      <c r="J20" s="189">
        <f t="shared" si="3"/>
        <v>0</v>
      </c>
      <c r="K20" s="189">
        <f t="shared" si="2"/>
        <v>-51415548</v>
      </c>
      <c r="L20" s="178"/>
      <c r="M20" s="125"/>
      <c r="N20" s="125"/>
      <c r="O20" s="125"/>
      <c r="P20" s="125"/>
      <c r="Q20" s="125"/>
      <c r="R20" s="125"/>
      <c r="S20" s="194"/>
      <c r="T20" s="194"/>
      <c r="U20" s="125"/>
      <c r="V20" s="160"/>
    </row>
    <row r="21" ht="16.25" spans="1:22">
      <c r="A21" s="179" t="s">
        <v>155</v>
      </c>
      <c r="B21" s="197">
        <f>SUM(B6,B10:B14,B20)</f>
        <v>12241797</v>
      </c>
      <c r="C21" s="197">
        <f t="shared" ref="C21:H21" si="4">SUM(C6,C10:C14,C20)</f>
        <v>46878123</v>
      </c>
      <c r="D21" s="197">
        <f t="shared" si="4"/>
        <v>69893293</v>
      </c>
      <c r="E21" s="197">
        <f t="shared" si="4"/>
        <v>2780637</v>
      </c>
      <c r="F21" s="197">
        <f t="shared" si="4"/>
        <v>41795310</v>
      </c>
      <c r="G21" s="197">
        <f t="shared" si="4"/>
        <v>0</v>
      </c>
      <c r="H21" s="197">
        <f t="shared" si="4"/>
        <v>97379056</v>
      </c>
      <c r="I21" s="197">
        <f>SUM(B21:H21)</f>
        <v>270968216</v>
      </c>
      <c r="J21" s="197">
        <v>14904379</v>
      </c>
      <c r="K21" s="198">
        <f t="shared" si="2"/>
        <v>285872595</v>
      </c>
      <c r="L21" s="178"/>
      <c r="M21" s="125"/>
      <c r="N21" s="125"/>
      <c r="O21" s="125"/>
      <c r="P21" s="125"/>
      <c r="Q21" s="125"/>
      <c r="R21" s="125"/>
      <c r="S21" s="194"/>
      <c r="T21" s="194"/>
      <c r="U21" s="125"/>
      <c r="V21" s="160"/>
    </row>
    <row r="22" ht="16.25" spans="1:22">
      <c r="A22" s="179" t="s">
        <v>156</v>
      </c>
      <c r="B22" s="181">
        <v>0</v>
      </c>
      <c r="C22" s="182">
        <v>0</v>
      </c>
      <c r="D22" s="182">
        <v>0</v>
      </c>
      <c r="E22" s="182">
        <v>-2973630</v>
      </c>
      <c r="F22" s="182">
        <v>0</v>
      </c>
      <c r="G22" s="182">
        <v>0</v>
      </c>
      <c r="H22" s="182">
        <v>2973630</v>
      </c>
      <c r="I22" s="181">
        <f>SUM(B22:H22)</f>
        <v>0</v>
      </c>
      <c r="J22" s="182">
        <v>0</v>
      </c>
      <c r="K22" s="182">
        <f t="shared" si="2"/>
        <v>0</v>
      </c>
      <c r="L22" s="178"/>
      <c r="M22" s="125"/>
      <c r="N22" s="125"/>
      <c r="O22" s="125"/>
      <c r="P22" s="125"/>
      <c r="Q22" s="125"/>
      <c r="R22" s="125"/>
      <c r="S22" s="194"/>
      <c r="T22" s="194"/>
      <c r="U22" s="125"/>
      <c r="V22" s="160"/>
    </row>
    <row r="23" ht="16.25" spans="1:22">
      <c r="A23" s="179" t="s">
        <v>157</v>
      </c>
      <c r="B23" s="186">
        <v>0</v>
      </c>
      <c r="C23" s="188">
        <v>0</v>
      </c>
      <c r="D23" s="188">
        <v>0</v>
      </c>
      <c r="E23" s="188">
        <v>0</v>
      </c>
      <c r="F23" s="188">
        <v>0</v>
      </c>
      <c r="G23" s="188">
        <v>0</v>
      </c>
      <c r="H23" s="188">
        <v>-4327814</v>
      </c>
      <c r="I23" s="185">
        <v>-4327814</v>
      </c>
      <c r="J23" s="186">
        <v>0</v>
      </c>
      <c r="K23" s="188">
        <f t="shared" si="2"/>
        <v>-4327814</v>
      </c>
      <c r="L23" s="178"/>
      <c r="M23" s="125"/>
      <c r="N23" s="125"/>
      <c r="O23" s="125"/>
      <c r="P23" s="125"/>
      <c r="Q23" s="125"/>
      <c r="R23" s="125"/>
      <c r="S23" s="194"/>
      <c r="T23" s="194"/>
      <c r="U23" s="125"/>
      <c r="V23" s="160"/>
    </row>
    <row r="24" ht="16.25" spans="1:22">
      <c r="A24" s="179"/>
      <c r="B24" s="189">
        <f>SUM(B22:B23)</f>
        <v>0</v>
      </c>
      <c r="C24" s="189">
        <f t="shared" ref="C24:H24" si="5">SUM(C22:C23)</f>
        <v>0</v>
      </c>
      <c r="D24" s="189">
        <f t="shared" si="5"/>
        <v>0</v>
      </c>
      <c r="E24" s="189">
        <f t="shared" si="5"/>
        <v>-2973630</v>
      </c>
      <c r="F24" s="189">
        <f t="shared" si="5"/>
        <v>0</v>
      </c>
      <c r="G24" s="189">
        <f t="shared" si="5"/>
        <v>0</v>
      </c>
      <c r="H24" s="189">
        <f t="shared" si="5"/>
        <v>-1354184</v>
      </c>
      <c r="I24" s="189">
        <f>SUM(B24:H24)</f>
        <v>-4327814</v>
      </c>
      <c r="J24" s="189">
        <v>0</v>
      </c>
      <c r="K24" s="199">
        <f t="shared" si="2"/>
        <v>-4327814</v>
      </c>
      <c r="L24" s="178"/>
      <c r="M24" s="125"/>
      <c r="N24" s="125"/>
      <c r="O24" s="125"/>
      <c r="P24" s="125"/>
      <c r="Q24" s="125"/>
      <c r="R24" s="125"/>
      <c r="S24" s="194"/>
      <c r="T24" s="194"/>
      <c r="U24" s="125"/>
      <c r="V24" s="160"/>
    </row>
    <row r="25" ht="16.25" spans="1:22">
      <c r="A25" s="175" t="s">
        <v>158</v>
      </c>
      <c r="B25" s="197">
        <f>B21+B24</f>
        <v>12241797</v>
      </c>
      <c r="C25" s="197">
        <v>46878123</v>
      </c>
      <c r="D25" s="197">
        <v>69893293</v>
      </c>
      <c r="E25" s="197">
        <v>-192993</v>
      </c>
      <c r="F25" s="197">
        <v>41795310</v>
      </c>
      <c r="G25" s="197">
        <v>0</v>
      </c>
      <c r="H25" s="197">
        <v>96024872</v>
      </c>
      <c r="I25" s="197">
        <v>266640402</v>
      </c>
      <c r="J25" s="197">
        <v>14904379</v>
      </c>
      <c r="K25" s="198">
        <f t="shared" si="2"/>
        <v>281544781</v>
      </c>
      <c r="L25" s="178"/>
      <c r="M25" s="194"/>
      <c r="N25" s="194"/>
      <c r="O25" s="194"/>
      <c r="P25" s="194"/>
      <c r="Q25" s="194"/>
      <c r="R25" s="125"/>
      <c r="S25" s="194"/>
      <c r="T25" s="194"/>
      <c r="U25" s="194"/>
      <c r="V25" s="160"/>
    </row>
    <row r="26" ht="16.25" spans="1:22">
      <c r="A26" s="175" t="s">
        <v>159</v>
      </c>
      <c r="B26" s="176"/>
      <c r="C26" s="176"/>
      <c r="D26" s="176"/>
      <c r="E26" s="176"/>
      <c r="F26" s="176"/>
      <c r="G26" s="176">
        <v>0</v>
      </c>
      <c r="H26" s="176"/>
      <c r="I26" s="176"/>
      <c r="J26" s="176"/>
      <c r="K26" s="177"/>
      <c r="L26" s="178"/>
      <c r="M26" s="125"/>
      <c r="N26" s="125"/>
      <c r="O26" s="125"/>
      <c r="P26" s="194"/>
      <c r="Q26" s="125"/>
      <c r="R26" s="125"/>
      <c r="S26" s="194"/>
      <c r="T26" s="125"/>
      <c r="U26" s="125"/>
      <c r="V26" s="174"/>
    </row>
    <row r="27" ht="16.25" spans="1:22">
      <c r="A27" s="179" t="s">
        <v>160</v>
      </c>
      <c r="B27" s="181">
        <v>0</v>
      </c>
      <c r="C27" s="181">
        <v>0</v>
      </c>
      <c r="D27" s="181">
        <v>0</v>
      </c>
      <c r="E27" s="181">
        <v>0</v>
      </c>
      <c r="F27" s="181">
        <v>0</v>
      </c>
      <c r="G27" s="181">
        <v>0</v>
      </c>
      <c r="H27" s="181">
        <v>75155853</v>
      </c>
      <c r="I27" s="181">
        <f t="shared" ref="I27:I34" si="6">SUM(B27:H27)</f>
        <v>75155853</v>
      </c>
      <c r="J27" s="181">
        <v>621591</v>
      </c>
      <c r="K27" s="181">
        <f t="shared" ref="K27:K34" si="7">I27+J27</f>
        <v>75777444</v>
      </c>
      <c r="L27" s="178"/>
      <c r="M27" s="125"/>
      <c r="N27" s="125"/>
      <c r="O27" s="125"/>
      <c r="P27" s="125"/>
      <c r="Q27" s="125"/>
      <c r="R27" s="125"/>
      <c r="S27" s="194"/>
      <c r="T27" s="194"/>
      <c r="U27" s="125"/>
      <c r="V27" s="160"/>
    </row>
    <row r="28" ht="16.25" spans="1:22">
      <c r="A28" s="179" t="s">
        <v>145</v>
      </c>
      <c r="B28" s="186">
        <v>0</v>
      </c>
      <c r="C28" s="186">
        <v>0</v>
      </c>
      <c r="D28" s="186">
        <v>-10089339</v>
      </c>
      <c r="E28" s="200">
        <v>38463839</v>
      </c>
      <c r="F28" s="200">
        <v>252545</v>
      </c>
      <c r="G28" s="186">
        <v>1146</v>
      </c>
      <c r="H28" s="186">
        <v>4197565</v>
      </c>
      <c r="I28" s="186">
        <f t="shared" si="6"/>
        <v>32825756</v>
      </c>
      <c r="J28" s="186">
        <v>114056</v>
      </c>
      <c r="K28" s="186">
        <f t="shared" si="7"/>
        <v>32939812</v>
      </c>
      <c r="L28" s="178"/>
      <c r="M28" s="125"/>
      <c r="N28" s="125"/>
      <c r="O28" s="125"/>
      <c r="P28" s="194"/>
      <c r="Q28" s="125"/>
      <c r="R28" s="125"/>
      <c r="S28" s="194"/>
      <c r="T28" s="194"/>
      <c r="U28" s="125"/>
      <c r="V28" s="160"/>
    </row>
    <row r="29" ht="16.25" spans="1:22">
      <c r="A29" s="179" t="s">
        <v>159</v>
      </c>
      <c r="B29" s="189">
        <f>B27+B28</f>
        <v>0</v>
      </c>
      <c r="C29" s="189">
        <f t="shared" ref="C29:H29" si="8">C27+C28</f>
        <v>0</v>
      </c>
      <c r="D29" s="189">
        <f t="shared" si="8"/>
        <v>-10089339</v>
      </c>
      <c r="E29" s="189">
        <f t="shared" si="8"/>
        <v>38463839</v>
      </c>
      <c r="F29" s="189">
        <f t="shared" si="8"/>
        <v>252545</v>
      </c>
      <c r="G29" s="189">
        <f t="shared" si="8"/>
        <v>1146</v>
      </c>
      <c r="H29" s="189">
        <f t="shared" si="8"/>
        <v>79353418</v>
      </c>
      <c r="I29" s="189">
        <f t="shared" si="6"/>
        <v>107981609</v>
      </c>
      <c r="J29" s="189">
        <v>735647</v>
      </c>
      <c r="K29" s="199">
        <f t="shared" si="7"/>
        <v>108717256</v>
      </c>
      <c r="L29" s="178"/>
      <c r="M29" s="194"/>
      <c r="N29" s="194"/>
      <c r="O29" s="194"/>
      <c r="P29" s="194"/>
      <c r="Q29" s="194"/>
      <c r="R29" s="125"/>
      <c r="S29" s="194"/>
      <c r="T29" s="194"/>
      <c r="U29" s="194"/>
      <c r="V29" s="160"/>
    </row>
    <row r="30" ht="16.25" spans="1:22">
      <c r="A30" s="201" t="s">
        <v>146</v>
      </c>
      <c r="B30" s="202">
        <v>0</v>
      </c>
      <c r="C30" s="202">
        <v>0</v>
      </c>
      <c r="D30" s="202">
        <v>0</v>
      </c>
      <c r="E30" s="202">
        <v>0</v>
      </c>
      <c r="F30" s="202">
        <v>-22930</v>
      </c>
      <c r="G30" s="202">
        <v>0</v>
      </c>
      <c r="H30" s="202">
        <v>22930</v>
      </c>
      <c r="I30" s="202">
        <f t="shared" si="6"/>
        <v>0</v>
      </c>
      <c r="J30" s="202">
        <v>0</v>
      </c>
      <c r="K30" s="203">
        <f t="shared" si="7"/>
        <v>0</v>
      </c>
      <c r="L30" s="178"/>
      <c r="M30" s="125"/>
      <c r="N30" s="125"/>
      <c r="O30" s="125"/>
      <c r="P30" s="125"/>
      <c r="Q30" s="125"/>
      <c r="R30" s="125"/>
      <c r="S30" s="125"/>
      <c r="T30" s="125"/>
      <c r="U30" s="125"/>
      <c r="V30" s="174"/>
    </row>
    <row r="31" ht="16.25" spans="1:22">
      <c r="A31" s="125" t="s">
        <v>147</v>
      </c>
      <c r="B31" s="204">
        <v>0</v>
      </c>
      <c r="C31" s="204">
        <v>0</v>
      </c>
      <c r="D31" s="204">
        <v>0</v>
      </c>
      <c r="E31" s="204">
        <v>0</v>
      </c>
      <c r="F31" s="204">
        <v>-78513</v>
      </c>
      <c r="G31" s="204">
        <v>0</v>
      </c>
      <c r="H31" s="204">
        <v>78513</v>
      </c>
      <c r="I31" s="204">
        <f t="shared" si="6"/>
        <v>0</v>
      </c>
      <c r="J31" s="173">
        <v>0</v>
      </c>
      <c r="K31" s="205">
        <f t="shared" si="7"/>
        <v>0</v>
      </c>
      <c r="L31" s="178"/>
      <c r="M31" s="125"/>
      <c r="N31" s="125"/>
      <c r="O31" s="125"/>
      <c r="P31" s="125"/>
      <c r="Q31" s="125"/>
      <c r="R31" s="125"/>
      <c r="S31" s="194"/>
      <c r="T31" s="194"/>
      <c r="U31" s="194"/>
      <c r="V31" s="160"/>
    </row>
    <row r="32" ht="16.25" spans="1:22">
      <c r="A32" s="125" t="s">
        <v>148</v>
      </c>
      <c r="B32" s="204">
        <v>0</v>
      </c>
      <c r="C32" s="204">
        <v>8052754</v>
      </c>
      <c r="D32" s="204">
        <v>0</v>
      </c>
      <c r="E32" s="204">
        <v>0</v>
      </c>
      <c r="F32" s="204">
        <v>0</v>
      </c>
      <c r="G32" s="204">
        <v>0</v>
      </c>
      <c r="H32" s="204">
        <v>-8052754</v>
      </c>
      <c r="I32" s="204">
        <f t="shared" si="6"/>
        <v>0</v>
      </c>
      <c r="J32" s="173">
        <v>0</v>
      </c>
      <c r="K32" s="205">
        <f t="shared" si="7"/>
        <v>0</v>
      </c>
      <c r="L32" s="178"/>
      <c r="M32" s="125"/>
      <c r="N32" s="125"/>
      <c r="O32" s="194"/>
      <c r="P32" s="194"/>
      <c r="Q32" s="194"/>
      <c r="R32" s="194"/>
      <c r="S32" s="194"/>
      <c r="T32" s="194"/>
      <c r="U32" s="194"/>
      <c r="V32" s="160"/>
    </row>
    <row r="33" ht="16.25" spans="1:22">
      <c r="A33" s="125" t="s">
        <v>161</v>
      </c>
      <c r="B33" s="204">
        <v>0</v>
      </c>
      <c r="C33" s="204">
        <v>0</v>
      </c>
      <c r="D33" s="204">
        <v>0</v>
      </c>
      <c r="E33" s="204">
        <v>48249</v>
      </c>
      <c r="F33" s="204">
        <v>0</v>
      </c>
      <c r="G33" s="204">
        <v>0</v>
      </c>
      <c r="H33" s="204">
        <v>-48249</v>
      </c>
      <c r="I33" s="204">
        <f t="shared" si="6"/>
        <v>0</v>
      </c>
      <c r="J33" s="173">
        <v>0</v>
      </c>
      <c r="K33" s="205">
        <f t="shared" si="7"/>
        <v>0</v>
      </c>
      <c r="L33" s="178"/>
      <c r="M33" s="206"/>
      <c r="N33" s="206"/>
      <c r="O33" s="206"/>
      <c r="P33" s="206"/>
      <c r="Q33" s="207"/>
      <c r="R33" s="206"/>
      <c r="S33" s="207"/>
      <c r="T33" s="206"/>
      <c r="U33" s="206"/>
      <c r="V33" s="208"/>
    </row>
    <row r="34" ht="16.25" spans="1:22">
      <c r="A34" s="125" t="s">
        <v>162</v>
      </c>
      <c r="B34" s="204">
        <v>0</v>
      </c>
      <c r="C34" s="204">
        <v>0</v>
      </c>
      <c r="D34" s="204">
        <v>0</v>
      </c>
      <c r="E34" s="204">
        <v>535734</v>
      </c>
      <c r="F34" s="204">
        <v>-3492963</v>
      </c>
      <c r="G34" s="204">
        <v>0</v>
      </c>
      <c r="H34" s="204">
        <v>2957229</v>
      </c>
      <c r="I34" s="204">
        <f t="shared" si="6"/>
        <v>0</v>
      </c>
      <c r="J34" s="173">
        <v>-15590116</v>
      </c>
      <c r="K34" s="204">
        <f t="shared" si="7"/>
        <v>-15590116</v>
      </c>
      <c r="L34" s="194"/>
      <c r="M34" s="174"/>
    </row>
    <row r="35" ht="16.25" spans="1:22">
      <c r="A35" s="172" t="s">
        <v>150</v>
      </c>
      <c r="B35" s="204"/>
      <c r="C35" s="204"/>
      <c r="D35" s="204"/>
      <c r="E35" s="204"/>
      <c r="F35" s="204"/>
      <c r="G35" s="204"/>
      <c r="H35" s="204"/>
      <c r="I35" s="204"/>
      <c r="J35" s="173"/>
      <c r="K35" s="204"/>
      <c r="L35" s="207"/>
      <c r="M35" s="209"/>
    </row>
    <row r="36" ht="16.25" spans="1:22">
      <c r="A36" s="125" t="s">
        <v>163</v>
      </c>
      <c r="B36" s="210">
        <v>0</v>
      </c>
      <c r="C36" s="210">
        <v>0</v>
      </c>
      <c r="D36" s="210">
        <v>0</v>
      </c>
      <c r="E36" s="211">
        <v>0</v>
      </c>
      <c r="F36" s="212">
        <v>0</v>
      </c>
      <c r="G36" s="213">
        <v>0</v>
      </c>
      <c r="H36" s="211">
        <v>-13465977</v>
      </c>
      <c r="I36" s="214">
        <v>-13456977</v>
      </c>
      <c r="J36" s="213">
        <v>0</v>
      </c>
      <c r="K36" s="210">
        <f t="shared" ref="K36:K41" si="9">I36+J36</f>
        <v>-13456977</v>
      </c>
    </row>
    <row r="37" ht="16.25" spans="1:22">
      <c r="A37" s="125" t="s">
        <v>164</v>
      </c>
      <c r="B37" s="215">
        <v>0</v>
      </c>
      <c r="C37" s="215">
        <v>0</v>
      </c>
      <c r="D37" s="215">
        <v>0</v>
      </c>
      <c r="E37" s="216">
        <v>0</v>
      </c>
      <c r="F37" s="217">
        <v>0</v>
      </c>
      <c r="G37" s="218">
        <v>0</v>
      </c>
      <c r="H37" s="216">
        <v>-13465977</v>
      </c>
      <c r="I37" s="219">
        <v>-13456977</v>
      </c>
      <c r="J37" s="218">
        <v>0</v>
      </c>
      <c r="K37" s="215">
        <f t="shared" si="9"/>
        <v>-13456977</v>
      </c>
    </row>
    <row r="38" ht="16.25" spans="1:22">
      <c r="A38" s="125" t="s">
        <v>165</v>
      </c>
      <c r="B38" s="215">
        <v>0</v>
      </c>
      <c r="C38" s="215">
        <v>0</v>
      </c>
      <c r="D38" s="215">
        <v>0</v>
      </c>
      <c r="E38" s="216">
        <v>0</v>
      </c>
      <c r="F38" s="217">
        <v>0</v>
      </c>
      <c r="G38" s="218">
        <v>0</v>
      </c>
      <c r="H38" s="216">
        <v>-13465977</v>
      </c>
      <c r="I38" s="219">
        <v>-13456977</v>
      </c>
      <c r="J38" s="218">
        <v>0</v>
      </c>
      <c r="K38" s="215">
        <f t="shared" si="9"/>
        <v>-13456977</v>
      </c>
    </row>
    <row r="39" ht="16.25" spans="1:22">
      <c r="A39" s="125" t="s">
        <v>166</v>
      </c>
      <c r="B39" s="220">
        <v>0</v>
      </c>
      <c r="C39" s="220">
        <v>0</v>
      </c>
      <c r="D39" s="220">
        <v>0</v>
      </c>
      <c r="E39" s="221">
        <v>0</v>
      </c>
      <c r="F39" s="222">
        <v>0</v>
      </c>
      <c r="G39" s="223">
        <v>0</v>
      </c>
      <c r="H39" s="221">
        <v>-13465977</v>
      </c>
      <c r="I39" s="224">
        <v>-13456977</v>
      </c>
      <c r="J39" s="223">
        <v>0</v>
      </c>
      <c r="K39" s="220">
        <f t="shared" si="9"/>
        <v>-13456977</v>
      </c>
    </row>
    <row r="40" ht="16.25" spans="1:22">
      <c r="A40" s="125"/>
      <c r="B40" s="225">
        <f>SUM(B36:B39)</f>
        <v>0</v>
      </c>
      <c r="C40" s="225">
        <f t="shared" ref="C40:K40" si="10">SUM(C36:C39)</f>
        <v>0</v>
      </c>
      <c r="D40" s="225">
        <f t="shared" si="10"/>
        <v>0</v>
      </c>
      <c r="E40" s="225">
        <f t="shared" si="10"/>
        <v>0</v>
      </c>
      <c r="F40" s="225">
        <f t="shared" si="10"/>
        <v>0</v>
      </c>
      <c r="G40" s="225">
        <f t="shared" si="10"/>
        <v>0</v>
      </c>
      <c r="H40" s="225">
        <f t="shared" si="10"/>
        <v>-53863908</v>
      </c>
      <c r="I40" s="225">
        <f t="shared" si="10"/>
        <v>-53827908</v>
      </c>
      <c r="J40" s="225">
        <f t="shared" si="10"/>
        <v>0</v>
      </c>
      <c r="K40" s="225">
        <f t="shared" si="9"/>
        <v>-53827908</v>
      </c>
    </row>
    <row r="41" ht="16.25" spans="1:22">
      <c r="A41" s="125" t="s">
        <v>167</v>
      </c>
      <c r="B41" s="226">
        <f>SUM(B25,B29,B30:B34,B40)</f>
        <v>12241797</v>
      </c>
      <c r="C41" s="226">
        <f t="shared" ref="C41:H41" si="11">SUM(C25,C29,C30:C34,C40)</f>
        <v>54930877</v>
      </c>
      <c r="D41" s="226">
        <f t="shared" si="11"/>
        <v>59803954</v>
      </c>
      <c r="E41" s="226">
        <f t="shared" si="11"/>
        <v>38854829</v>
      </c>
      <c r="F41" s="226">
        <f t="shared" si="11"/>
        <v>38453449</v>
      </c>
      <c r="G41" s="226">
        <f t="shared" si="11"/>
        <v>1146</v>
      </c>
      <c r="H41" s="226">
        <f t="shared" si="11"/>
        <v>116472051</v>
      </c>
      <c r="I41" s="226">
        <f>SUM(B41:H41)</f>
        <v>320758103</v>
      </c>
      <c r="J41" s="226">
        <v>49910</v>
      </c>
      <c r="K41" s="227">
        <f t="shared" si="9"/>
        <v>320808013</v>
      </c>
    </row>
    <row r="42" ht="16.25" spans="1:22">
      <c r="B42" s="108"/>
      <c r="C42" s="108"/>
      <c r="D42" s="108"/>
      <c r="E42" s="108"/>
      <c r="F42" s="108"/>
      <c r="G42" s="108"/>
      <c r="H42" s="108"/>
      <c r="I42" s="228"/>
      <c r="J42" s="108"/>
      <c r="K42" s="108"/>
    </row>
    <row r="43" spans="1:22">
      <c r="B43" s="108"/>
      <c r="C43" s="108"/>
      <c r="D43" s="108"/>
      <c r="E43" s="108"/>
      <c r="F43" s="108"/>
      <c r="G43" s="108"/>
      <c r="H43" s="108"/>
      <c r="I43" s="108"/>
      <c r="J43" s="108"/>
      <c r="K43" s="108"/>
    </row>
    <row r="44" spans="1:22">
      <c r="B44" s="108"/>
      <c r="C44" s="108"/>
      <c r="D44" s="108"/>
      <c r="E44" s="108"/>
      <c r="F44" s="108"/>
      <c r="G44" s="108"/>
      <c r="H44" s="108"/>
      <c r="I44" s="108"/>
      <c r="J44" s="108"/>
      <c r="K44" s="108"/>
    </row>
    <row r="45" spans="1:22">
      <c r="B45" s="108"/>
      <c r="C45" s="108"/>
      <c r="D45" s="108"/>
      <c r="E45" s="108"/>
      <c r="F45" s="108"/>
      <c r="G45" s="108"/>
      <c r="H45" s="108"/>
      <c r="I45" s="108"/>
      <c r="J45" s="108"/>
      <c r="K45" s="108"/>
    </row>
    <row r="46" spans="1:22">
      <c r="B46" s="108"/>
      <c r="C46" s="108"/>
      <c r="D46" s="108"/>
      <c r="E46" s="108"/>
      <c r="F46" s="108"/>
      <c r="G46" s="108"/>
      <c r="H46" s="108"/>
      <c r="I46" s="108"/>
      <c r="J46" s="108"/>
      <c r="K46" s="108"/>
    </row>
    <row r="47" spans="1:22">
      <c r="B47" s="108"/>
      <c r="C47" s="108"/>
      <c r="D47" s="108"/>
      <c r="E47" s="108"/>
      <c r="F47" s="108"/>
      <c r="G47" s="108"/>
      <c r="H47" s="108"/>
      <c r="I47" s="108"/>
      <c r="J47" s="108"/>
      <c r="K47" s="108"/>
    </row>
    <row r="48" ht="16.25" spans="1:22">
      <c r="B48" s="108"/>
      <c r="C48" s="108"/>
      <c r="D48" s="108"/>
      <c r="E48" s="108"/>
      <c r="F48" s="108"/>
      <c r="G48" s="108"/>
      <c r="H48" s="108"/>
      <c r="I48" s="219"/>
      <c r="J48" s="108"/>
      <c r="K48" s="108"/>
    </row>
    <row r="49" ht="16.25" spans="2:11">
      <c r="B49" s="108"/>
      <c r="C49" s="108"/>
      <c r="D49" s="108"/>
      <c r="E49" s="108"/>
      <c r="F49" s="108"/>
      <c r="G49" s="108"/>
      <c r="H49" s="108"/>
      <c r="I49" s="229"/>
      <c r="J49" s="108"/>
      <c r="K49" s="108"/>
    </row>
    <row r="50" ht="16.25" spans="2:11">
      <c r="B50" s="108"/>
      <c r="C50" s="108"/>
      <c r="D50" s="108"/>
      <c r="E50" s="108"/>
      <c r="F50" s="108"/>
      <c r="G50" s="108"/>
      <c r="H50" s="108"/>
      <c r="I50" s="229"/>
      <c r="J50" s="108"/>
      <c r="K50" s="108"/>
    </row>
    <row r="51" spans="2:11">
      <c r="B51" s="108"/>
      <c r="C51" s="108"/>
      <c r="D51" s="108"/>
      <c r="E51" s="108"/>
      <c r="F51" s="108"/>
      <c r="G51" s="108"/>
      <c r="H51" s="108"/>
      <c r="I51" s="229"/>
      <c r="J51" s="108"/>
      <c r="K51" s="108"/>
    </row>
    <row r="52" spans="2:11">
      <c r="B52" s="108"/>
      <c r="C52" s="108"/>
      <c r="D52" s="108"/>
      <c r="E52" s="108"/>
      <c r="F52" s="108"/>
      <c r="G52" s="108"/>
      <c r="H52" s="108"/>
      <c r="I52" s="108"/>
      <c r="J52" s="108"/>
      <c r="K52" s="108"/>
    </row>
    <row r="53" spans="2:11">
      <c r="B53" s="108"/>
      <c r="C53" s="108"/>
      <c r="D53" s="108"/>
      <c r="E53" s="108"/>
      <c r="F53" s="108"/>
      <c r="G53" s="108"/>
      <c r="H53" s="108"/>
      <c r="I53" s="108"/>
      <c r="J53" s="108"/>
      <c r="K53" s="108"/>
    </row>
    <row r="54" spans="2:11">
      <c r="B54" s="108"/>
      <c r="C54" s="108"/>
      <c r="D54" s="108"/>
      <c r="E54" s="108"/>
      <c r="F54" s="108"/>
      <c r="G54" s="108"/>
      <c r="H54" s="108"/>
      <c r="I54" s="108"/>
      <c r="J54" s="108"/>
      <c r="K54" s="108"/>
    </row>
    <row r="55" spans="2:11">
      <c r="B55" s="108"/>
      <c r="C55" s="108"/>
      <c r="D55" s="108"/>
      <c r="E55" s="108"/>
      <c r="F55" s="108"/>
      <c r="G55" s="108"/>
      <c r="H55" s="108"/>
      <c r="I55" s="108"/>
      <c r="J55" s="108"/>
      <c r="K55" s="108"/>
    </row>
    <row r="56" spans="2:11">
      <c r="B56" s="108"/>
      <c r="C56" s="108"/>
      <c r="D56" s="108"/>
      <c r="E56" s="108"/>
      <c r="F56" s="108"/>
      <c r="G56" s="108"/>
      <c r="H56" s="108"/>
      <c r="I56" s="108"/>
      <c r="J56" s="108"/>
      <c r="K56" s="108"/>
    </row>
    <row r="57" spans="2:11">
      <c r="B57" s="108"/>
      <c r="C57" s="108"/>
      <c r="D57" s="108"/>
      <c r="E57" s="108"/>
      <c r="F57" s="108"/>
      <c r="G57" s="108"/>
      <c r="H57" s="108"/>
      <c r="I57" s="108"/>
      <c r="J57" s="108"/>
      <c r="K57" s="108"/>
    </row>
    <row r="58" spans="2:11"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spans="2:11">
      <c r="B59" s="108"/>
      <c r="C59" s="108"/>
      <c r="D59" s="108"/>
      <c r="E59" s="108"/>
      <c r="F59" s="108"/>
      <c r="G59" s="108"/>
      <c r="H59" s="108"/>
      <c r="I59" s="108"/>
      <c r="J59" s="108"/>
      <c r="K59" s="108"/>
    </row>
  </sheetData>
  <pageMargins left="0.75" right="0.75" top="1" bottom="1" header="0.5" footer="0.5"/>
  <headerFooter/>
  <ignoredErrors>
    <ignoredError sqref="G20" formulaRange="1"/>
    <ignoredError sqref="I20:K20 J16:K19 A16:H19 A15:K15 A11:H14 J10:K14 A10:G10 A7:K9 J6:K6 A6:H6 A5:D5 A4:K4 A2:I3 L25 L26:V43 L2:V8 N1:V1 N9:V25 A42:K42 C41:J41 A41 A40:K40 J36:K39 A36:H39 A22:K35 H21:K21 A20:E21" evalError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zoomScale="77" zoomScaleNormal="77" workbookViewId="0">
      <pane ySplit="1" topLeftCell="A2" activePane="bottomLeft" state="frozen"/>
      <selection/>
      <selection pane="bottomLeft" activeCell="A1" sqref="A1"/>
    </sheetView>
  </sheetViews>
  <sheetFormatPr defaultColWidth="8.66666666666667" defaultRowHeight="15.5" outlineLevelCol="4"/>
  <cols>
    <col min="1" max="1" width="93.9166666666667" customWidth="1"/>
    <col min="2" max="2" width="9.4" customWidth="1"/>
    <col min="3" max="3" width="24.8833333333333" style="108" customWidth="1"/>
    <col min="4" max="4" width="22.9666666666667" style="108" customWidth="1"/>
  </cols>
  <sheetData>
    <row r="1" ht="23.5" spans="1:5">
      <c r="A1" s="109" t="s">
        <v>168</v>
      </c>
      <c r="B1" s="128" t="s">
        <v>49</v>
      </c>
      <c r="C1" s="113" t="s">
        <v>50</v>
      </c>
      <c r="D1" s="113" t="s">
        <v>51</v>
      </c>
      <c r="E1" s="2"/>
    </row>
    <row r="2" spans="1:5">
      <c r="A2" s="2"/>
      <c r="B2" s="129"/>
      <c r="C2" s="113" t="s">
        <v>52</v>
      </c>
      <c r="D2" s="113" t="s">
        <v>52</v>
      </c>
      <c r="E2" s="2"/>
    </row>
    <row r="3" spans="1:5">
      <c r="A3" s="130" t="s">
        <v>169</v>
      </c>
      <c r="B3" s="129"/>
      <c r="C3" s="131"/>
      <c r="D3" s="131"/>
      <c r="E3" s="2"/>
    </row>
    <row r="4" spans="1:5">
      <c r="A4" s="2" t="s">
        <v>170</v>
      </c>
      <c r="B4" s="129"/>
      <c r="C4" s="131">
        <v>145036839</v>
      </c>
      <c r="D4" s="131">
        <v>110584565</v>
      </c>
      <c r="E4" s="2"/>
    </row>
    <row r="5" spans="1:5">
      <c r="A5" s="2" t="s">
        <v>171</v>
      </c>
      <c r="B5" s="129"/>
      <c r="C5" s="132">
        <v>-1741707</v>
      </c>
      <c r="D5" s="131">
        <v>-1614470</v>
      </c>
      <c r="E5" s="2"/>
    </row>
    <row r="6" spans="1:5">
      <c r="A6" s="2" t="s">
        <v>172</v>
      </c>
      <c r="B6" s="129"/>
      <c r="C6" s="131">
        <v>-895183</v>
      </c>
      <c r="D6" s="131">
        <v>989536</v>
      </c>
      <c r="E6" s="2"/>
    </row>
    <row r="7" spans="1:5">
      <c r="A7" s="2"/>
      <c r="B7" s="129"/>
      <c r="C7" s="133">
        <f>SUM(C4:C6)</f>
        <v>142399949</v>
      </c>
      <c r="D7" s="133">
        <f>SUM(D4:D6)</f>
        <v>109959631</v>
      </c>
      <c r="E7" s="2"/>
    </row>
    <row r="8" spans="1:5">
      <c r="A8" s="130" t="s">
        <v>173</v>
      </c>
      <c r="B8" s="129"/>
      <c r="C8" s="131"/>
      <c r="D8" s="131"/>
      <c r="E8" s="2"/>
    </row>
    <row r="9" spans="1:5">
      <c r="A9" s="2" t="s">
        <v>174</v>
      </c>
      <c r="B9" s="129"/>
      <c r="C9" s="134">
        <v>5849218</v>
      </c>
      <c r="D9" s="135">
        <v>4524584</v>
      </c>
      <c r="E9" s="2"/>
    </row>
    <row r="10" spans="1:5">
      <c r="A10" s="2" t="s">
        <v>175</v>
      </c>
      <c r="B10" s="129"/>
      <c r="C10" s="136">
        <v>2520644</v>
      </c>
      <c r="D10" s="137">
        <v>2336379</v>
      </c>
      <c r="E10" s="2"/>
    </row>
    <row r="11" spans="1:5">
      <c r="A11" s="2" t="s">
        <v>176</v>
      </c>
      <c r="B11" s="129"/>
      <c r="C11" s="136">
        <v>3226</v>
      </c>
      <c r="D11" s="137">
        <v>3012</v>
      </c>
      <c r="E11" s="2"/>
    </row>
    <row r="12" spans="1:5">
      <c r="A12" s="2" t="s">
        <v>177</v>
      </c>
      <c r="B12" s="129"/>
      <c r="C12" s="136">
        <v>79527</v>
      </c>
      <c r="D12" s="137">
        <v>135236</v>
      </c>
      <c r="E12" s="2"/>
    </row>
    <row r="13" spans="1:5">
      <c r="A13" s="2" t="s">
        <v>178</v>
      </c>
      <c r="B13" s="129"/>
      <c r="C13" s="136">
        <v>1022553</v>
      </c>
      <c r="D13" s="137">
        <v>1085264</v>
      </c>
      <c r="E13" s="2"/>
    </row>
    <row r="14" spans="1:5">
      <c r="A14" s="2" t="s">
        <v>179</v>
      </c>
      <c r="B14" s="129"/>
      <c r="C14" s="136">
        <v>3145755</v>
      </c>
      <c r="D14" s="137">
        <v>2158813</v>
      </c>
      <c r="E14" s="2"/>
    </row>
    <row r="15" spans="1:5">
      <c r="A15" s="2" t="s">
        <v>180</v>
      </c>
      <c r="B15" s="129"/>
      <c r="C15" s="136">
        <v>91706</v>
      </c>
      <c r="D15" s="137">
        <v>650477</v>
      </c>
      <c r="E15" s="2"/>
    </row>
    <row r="16" spans="1:5">
      <c r="A16" s="2" t="s">
        <v>181</v>
      </c>
      <c r="B16" s="129"/>
      <c r="C16" s="136">
        <v>11253648</v>
      </c>
      <c r="D16" s="137">
        <v>-4893500</v>
      </c>
      <c r="E16" s="2"/>
    </row>
    <row r="17" spans="1:5">
      <c r="A17" s="2" t="s">
        <v>182</v>
      </c>
      <c r="B17" s="129"/>
      <c r="C17" s="136">
        <v>1303408</v>
      </c>
      <c r="D17" s="137">
        <v>-29304</v>
      </c>
      <c r="E17" s="2"/>
    </row>
    <row r="18" spans="1:5">
      <c r="A18" s="2" t="s">
        <v>183</v>
      </c>
      <c r="B18" s="129"/>
      <c r="C18" s="136">
        <v>-15723998</v>
      </c>
      <c r="D18" s="137">
        <v>6110045</v>
      </c>
      <c r="E18" s="2"/>
    </row>
    <row r="19" spans="1:5">
      <c r="A19" s="2" t="s">
        <v>184</v>
      </c>
      <c r="B19" s="129"/>
      <c r="C19" s="136">
        <v>1504645</v>
      </c>
      <c r="D19" s="137">
        <v>1236242</v>
      </c>
      <c r="E19" s="2"/>
    </row>
    <row r="20" spans="1:5">
      <c r="A20" s="2" t="s">
        <v>185</v>
      </c>
      <c r="B20" s="129"/>
      <c r="C20" s="136">
        <v>-234287</v>
      </c>
      <c r="D20" s="137">
        <v>-487633</v>
      </c>
      <c r="E20" s="2"/>
    </row>
    <row r="21" spans="1:5">
      <c r="A21" s="2" t="s">
        <v>186</v>
      </c>
      <c r="B21" s="129"/>
      <c r="C21" s="136">
        <v>-8706711</v>
      </c>
      <c r="D21" s="137"/>
      <c r="E21" s="2"/>
    </row>
    <row r="22" spans="1:5">
      <c r="A22" s="2" t="s">
        <v>187</v>
      </c>
      <c r="B22" s="129"/>
      <c r="C22" s="136">
        <v>-1016</v>
      </c>
      <c r="D22" s="137">
        <v>-2068</v>
      </c>
      <c r="E22" s="2"/>
    </row>
    <row r="23" spans="1:5">
      <c r="A23" s="2" t="s">
        <v>188</v>
      </c>
      <c r="B23" s="129"/>
      <c r="C23" s="136">
        <v>54951</v>
      </c>
      <c r="D23" s="137">
        <v>149845</v>
      </c>
      <c r="E23" s="2"/>
    </row>
    <row r="24" spans="1:5">
      <c r="A24" s="2" t="s">
        <v>189</v>
      </c>
      <c r="B24" s="129"/>
      <c r="C24" s="136">
        <v>-35068</v>
      </c>
      <c r="D24" s="137">
        <v>79074</v>
      </c>
      <c r="E24" s="2"/>
    </row>
    <row r="25" spans="1:5">
      <c r="A25" s="2" t="s">
        <v>190</v>
      </c>
      <c r="B25" s="129"/>
      <c r="C25" s="136">
        <v>476252</v>
      </c>
      <c r="D25" s="137">
        <v>-29016</v>
      </c>
      <c r="E25" s="2"/>
    </row>
    <row r="26" spans="1:5">
      <c r="A26" s="2" t="s">
        <v>191</v>
      </c>
      <c r="B26" s="129"/>
      <c r="C26" s="138">
        <v>160014</v>
      </c>
      <c r="D26" s="139">
        <v>149432</v>
      </c>
      <c r="E26" s="2"/>
    </row>
    <row r="27" spans="1:5">
      <c r="A27" s="2"/>
      <c r="B27" s="129"/>
      <c r="C27" s="140">
        <f>SUM(C9:C26)</f>
        <v>2764467</v>
      </c>
      <c r="D27" s="140">
        <f>SUM(D9:D26)</f>
        <v>13176882</v>
      </c>
      <c r="E27" s="2"/>
    </row>
    <row r="28" spans="1:5">
      <c r="A28" s="2"/>
      <c r="B28" s="129"/>
      <c r="C28" s="131">
        <f>C7+C27</f>
        <v>145164416</v>
      </c>
      <c r="D28" s="131">
        <f>D7+D27</f>
        <v>123136513</v>
      </c>
      <c r="E28" s="2"/>
    </row>
    <row r="29" spans="1:5">
      <c r="A29" s="130" t="s">
        <v>192</v>
      </c>
      <c r="B29" s="129"/>
      <c r="C29" s="131"/>
      <c r="D29" s="131"/>
      <c r="E29" s="2"/>
    </row>
    <row r="30" spans="1:5">
      <c r="A30" s="2" t="s">
        <v>29</v>
      </c>
      <c r="B30" s="129"/>
      <c r="C30" s="134">
        <v>20823787</v>
      </c>
      <c r="D30" s="135">
        <v>46526451</v>
      </c>
      <c r="E30" s="2"/>
    </row>
    <row r="31" spans="1:5">
      <c r="A31" s="2" t="s">
        <v>193</v>
      </c>
      <c r="B31" s="129"/>
      <c r="C31" s="136">
        <v>55025621</v>
      </c>
      <c r="D31" s="137">
        <v>-51489494</v>
      </c>
      <c r="E31" s="2"/>
    </row>
    <row r="32" spans="1:5">
      <c r="A32" s="2" t="s">
        <v>31</v>
      </c>
      <c r="B32" s="129"/>
      <c r="C32" s="136">
        <v>-582847466</v>
      </c>
      <c r="D32" s="137">
        <v>228743108</v>
      </c>
      <c r="E32" s="2"/>
    </row>
    <row r="33" spans="1:5">
      <c r="A33" s="2" t="s">
        <v>194</v>
      </c>
      <c r="B33" s="129"/>
      <c r="C33" s="138">
        <v>-79237101</v>
      </c>
      <c r="D33" s="139">
        <v>-72368543</v>
      </c>
      <c r="E33" s="2"/>
    </row>
    <row r="34" spans="1:5">
      <c r="A34" s="2"/>
      <c r="B34" s="129"/>
      <c r="C34" s="131">
        <f>SUM(C30:C33)</f>
        <v>-586235159</v>
      </c>
      <c r="D34" s="131">
        <f>SUM(D30:D33)</f>
        <v>151411522</v>
      </c>
      <c r="E34" s="2"/>
    </row>
    <row r="35" spans="1:5">
      <c r="A35" s="130" t="s">
        <v>195</v>
      </c>
      <c r="B35" s="129"/>
      <c r="C35" s="131"/>
      <c r="D35" s="131"/>
      <c r="E35" s="2"/>
    </row>
    <row r="36" spans="1:5">
      <c r="A36" s="2" t="s">
        <v>54</v>
      </c>
      <c r="B36" s="129"/>
      <c r="C36" s="134">
        <v>22487287</v>
      </c>
      <c r="D36" s="135">
        <v>-11295902</v>
      </c>
      <c r="E36" s="2"/>
    </row>
    <row r="37" spans="1:5">
      <c r="A37" s="2" t="s">
        <v>55</v>
      </c>
      <c r="B37" s="129"/>
      <c r="C37" s="136">
        <v>2031485602</v>
      </c>
      <c r="D37" s="137">
        <v>2257653694</v>
      </c>
      <c r="E37" s="2"/>
    </row>
    <row r="38" spans="1:5">
      <c r="A38" s="2" t="s">
        <v>56</v>
      </c>
      <c r="B38" s="129"/>
      <c r="C38" s="136">
        <v>5159883</v>
      </c>
      <c r="D38" s="137">
        <v>596706389</v>
      </c>
      <c r="E38" s="2"/>
    </row>
    <row r="39" spans="1:5">
      <c r="A39" s="2" t="s">
        <v>60</v>
      </c>
      <c r="B39" s="129"/>
      <c r="C39" s="138">
        <v>27144404</v>
      </c>
      <c r="D39" s="139">
        <v>18975940</v>
      </c>
      <c r="E39" s="2"/>
    </row>
    <row r="40" spans="1:5">
      <c r="A40" s="2"/>
      <c r="B40" s="129"/>
      <c r="C40" s="140">
        <f>SUM(C36:C39)</f>
        <v>2086277176</v>
      </c>
      <c r="D40" s="140">
        <f>SUM(D36:D39)</f>
        <v>2862040121</v>
      </c>
      <c r="E40" s="2"/>
    </row>
    <row r="41" spans="1:5">
      <c r="A41" s="2" t="s">
        <v>196</v>
      </c>
      <c r="B41" s="129"/>
      <c r="C41" s="131">
        <f>C40+C34+C28</f>
        <v>1645206433</v>
      </c>
      <c r="D41" s="131">
        <f>D40+D34+D28</f>
        <v>3136588156</v>
      </c>
      <c r="E41" s="2"/>
    </row>
    <row r="42" spans="1:5">
      <c r="A42" s="2" t="s">
        <v>197</v>
      </c>
      <c r="B42" s="129"/>
      <c r="C42" s="131">
        <v>-5669400</v>
      </c>
      <c r="D42" s="131">
        <v>-689109</v>
      </c>
      <c r="E42" s="2"/>
    </row>
    <row r="43" spans="1:5">
      <c r="A43" s="130" t="s">
        <v>198</v>
      </c>
      <c r="B43" s="129"/>
      <c r="C43" s="131">
        <v>-83561332</v>
      </c>
      <c r="D43" s="131">
        <v>-45909594</v>
      </c>
      <c r="E43" s="2"/>
    </row>
    <row r="44" spans="1:5">
      <c r="A44" s="2"/>
      <c r="B44" s="129"/>
      <c r="C44" s="133">
        <f>SUM(C41:C43)</f>
        <v>1555975701</v>
      </c>
      <c r="D44" s="133">
        <f>SUM(D41:D43)</f>
        <v>3089989453</v>
      </c>
      <c r="E44" s="2"/>
    </row>
    <row r="45" spans="1:5">
      <c r="A45" s="130" t="s">
        <v>199</v>
      </c>
      <c r="B45" s="129"/>
      <c r="C45" s="131"/>
      <c r="D45" s="131"/>
      <c r="E45" s="2"/>
    </row>
    <row r="46" spans="1:5">
      <c r="A46" s="2" t="s">
        <v>200</v>
      </c>
      <c r="B46" s="129"/>
      <c r="C46" s="134">
        <v>-1453132892</v>
      </c>
      <c r="D46" s="135">
        <v>-2959185607</v>
      </c>
      <c r="E46" s="2"/>
    </row>
    <row r="47" spans="1:5">
      <c r="A47" s="2" t="s">
        <v>201</v>
      </c>
      <c r="B47" s="129"/>
      <c r="C47" s="136">
        <v>40239285</v>
      </c>
      <c r="D47" s="137">
        <v>63738624</v>
      </c>
      <c r="E47" s="2"/>
    </row>
    <row r="48" spans="1:5">
      <c r="A48" s="2" t="s">
        <v>202</v>
      </c>
      <c r="B48" s="129"/>
      <c r="C48" s="136">
        <v>-811921</v>
      </c>
      <c r="D48" s="137">
        <v>2031927</v>
      </c>
      <c r="E48" s="2"/>
    </row>
    <row r="49" spans="1:5">
      <c r="A49" s="2" t="s">
        <v>203</v>
      </c>
      <c r="B49" s="129"/>
      <c r="C49" s="136">
        <v>-16615615</v>
      </c>
      <c r="D49" s="137">
        <v>-8913174</v>
      </c>
      <c r="E49" s="2"/>
    </row>
    <row r="50" spans="1:5">
      <c r="A50" s="2" t="s">
        <v>204</v>
      </c>
      <c r="B50" s="129"/>
      <c r="C50" s="136">
        <v>1741707</v>
      </c>
      <c r="D50" s="137">
        <v>1614470</v>
      </c>
      <c r="E50" s="2"/>
    </row>
    <row r="51" spans="1:5">
      <c r="A51" s="2" t="s">
        <v>205</v>
      </c>
      <c r="B51" s="129"/>
      <c r="C51" s="136">
        <v>358842</v>
      </c>
      <c r="D51" s="137">
        <v>2020722</v>
      </c>
      <c r="E51" s="2"/>
    </row>
    <row r="52" spans="1:5">
      <c r="A52" s="2" t="s">
        <v>206</v>
      </c>
      <c r="B52" s="129"/>
      <c r="C52" s="136">
        <v>19344</v>
      </c>
      <c r="D52" s="137">
        <v>47335</v>
      </c>
      <c r="E52" s="2"/>
    </row>
    <row r="53" spans="1:5">
      <c r="A53" s="2" t="s">
        <v>207</v>
      </c>
      <c r="B53" s="129"/>
      <c r="C53" s="138">
        <v>-10307279</v>
      </c>
      <c r="D53" s="139">
        <v>22303912</v>
      </c>
      <c r="E53" s="2"/>
    </row>
    <row r="54" spans="1:5">
      <c r="A54" s="130" t="s">
        <v>208</v>
      </c>
      <c r="B54" s="129"/>
      <c r="C54" s="131">
        <f>SUM(C46:C53)</f>
        <v>-1438508529</v>
      </c>
      <c r="D54" s="131">
        <f>SUM(D46:D53)</f>
        <v>-2876341791</v>
      </c>
      <c r="E54" s="2"/>
    </row>
    <row r="55" spans="1:5">
      <c r="A55" s="130"/>
      <c r="B55" s="129"/>
      <c r="C55" s="131"/>
      <c r="D55" s="131"/>
      <c r="E55" s="2"/>
    </row>
    <row r="56" spans="1:5">
      <c r="A56" s="130" t="s">
        <v>209</v>
      </c>
      <c r="B56" s="129"/>
      <c r="C56" s="131"/>
      <c r="D56" s="131"/>
      <c r="E56" s="2"/>
    </row>
    <row r="57" spans="1:5">
      <c r="A57" s="2" t="s">
        <v>210</v>
      </c>
      <c r="B57" s="129"/>
      <c r="C57" s="134">
        <v>0</v>
      </c>
      <c r="D57" s="135">
        <v>-3556</v>
      </c>
      <c r="E57" s="2"/>
    </row>
    <row r="58" spans="1:5">
      <c r="A58" s="2" t="s">
        <v>211</v>
      </c>
      <c r="B58" s="129"/>
      <c r="C58" s="136">
        <v>-3623173</v>
      </c>
      <c r="D58" s="137">
        <v>-3343300</v>
      </c>
      <c r="E58" s="2"/>
    </row>
    <row r="59" spans="1:5">
      <c r="A59" s="2" t="s">
        <v>212</v>
      </c>
      <c r="B59" s="129"/>
      <c r="C59" s="138">
        <v>-53825508</v>
      </c>
      <c r="D59" s="139">
        <v>-59235966</v>
      </c>
      <c r="E59" s="2"/>
    </row>
    <row r="60" spans="1:5">
      <c r="A60" s="130" t="s">
        <v>213</v>
      </c>
      <c r="B60" s="129"/>
      <c r="C60" s="131">
        <f>SUM(C57:C59)</f>
        <v>-57448681</v>
      </c>
      <c r="D60" s="131">
        <f>SUM(D57:D59)</f>
        <v>-62582822</v>
      </c>
      <c r="E60" s="2"/>
    </row>
    <row r="61" spans="1:5">
      <c r="A61" s="2"/>
      <c r="B61" s="129"/>
      <c r="C61" s="131"/>
      <c r="D61" s="131"/>
      <c r="E61" s="2"/>
    </row>
    <row r="62" spans="1:5">
      <c r="A62" s="130" t="s">
        <v>214</v>
      </c>
      <c r="B62" s="129"/>
      <c r="C62" s="133">
        <f>C44+C54+C60</f>
        <v>60018491</v>
      </c>
      <c r="D62" s="133">
        <f>D44+D54+D60</f>
        <v>151064840</v>
      </c>
      <c r="E62" s="2"/>
    </row>
    <row r="63" spans="1:5">
      <c r="A63" s="2" t="s">
        <v>215</v>
      </c>
      <c r="B63" s="141">
        <v>39</v>
      </c>
      <c r="C63" s="134">
        <v>312451157</v>
      </c>
      <c r="D63" s="135">
        <v>135606095</v>
      </c>
      <c r="E63" s="2"/>
    </row>
    <row r="64" spans="1:5">
      <c r="A64" s="2" t="s">
        <v>216</v>
      </c>
      <c r="B64" s="129"/>
      <c r="C64" s="138">
        <v>-1665026</v>
      </c>
      <c r="D64" s="139">
        <v>24115196</v>
      </c>
      <c r="E64" s="2"/>
    </row>
    <row r="65" spans="1:5">
      <c r="A65" s="2"/>
      <c r="B65" s="129"/>
      <c r="C65" s="131">
        <f>SUM(C63:C64)</f>
        <v>310786131</v>
      </c>
      <c r="D65" s="131">
        <f>SUM(D63:D64)</f>
        <v>159721291</v>
      </c>
      <c r="E65" s="2"/>
    </row>
    <row r="66" ht="16.25" spans="1:5">
      <c r="A66" s="130" t="s">
        <v>217</v>
      </c>
      <c r="B66" s="129"/>
      <c r="C66" s="142">
        <f>C62+C65</f>
        <v>370804622</v>
      </c>
      <c r="D66" s="142">
        <f>D62+D65</f>
        <v>310786131</v>
      </c>
      <c r="E66" s="2"/>
    </row>
    <row r="67" ht="16.25" spans="1:5">
      <c r="A67" s="2"/>
      <c r="B67" s="2"/>
      <c r="C67" s="131"/>
      <c r="D67" s="131"/>
      <c r="E67" s="2"/>
    </row>
    <row r="68" spans="1:5">
      <c r="A68" s="2"/>
      <c r="B68" s="2"/>
      <c r="C68" s="131"/>
      <c r="D68" s="131"/>
      <c r="E68" s="2"/>
    </row>
    <row r="69" spans="1:5">
      <c r="E69" s="2"/>
    </row>
  </sheetData>
  <hyperlinks>
    <hyperlink ref="B63" location="'Supporting notes '!A453" display="39"/>
  </hyperlinks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zoomScale="70" zoomScaleNormal="70" workbookViewId="0">
      <pane ySplit="1" topLeftCell="A2" activePane="bottomLeft" state="frozen"/>
      <selection/>
      <selection pane="bottomLeft" activeCell="E1" sqref="E1"/>
    </sheetView>
  </sheetViews>
  <sheetFormatPr defaultColWidth="8.66666666666667" defaultRowHeight="15.5" outlineLevelCol="3"/>
  <cols>
    <col min="1" max="1" width="38.2083333333333" customWidth="1"/>
    <col min="2" max="2" width="24.1666666666667" customWidth="1"/>
    <col min="3" max="3" width="23" style="108" customWidth="1"/>
    <col min="4" max="4" width="28.6833333333333" style="108" customWidth="1"/>
  </cols>
  <sheetData>
    <row r="1" ht="23.5" spans="1:4">
      <c r="A1" s="109" t="s">
        <v>218</v>
      </c>
      <c r="B1" s="110" t="s">
        <v>49</v>
      </c>
      <c r="C1" s="111" t="s">
        <v>50</v>
      </c>
      <c r="D1" s="111" t="s">
        <v>51</v>
      </c>
    </row>
    <row r="2" spans="1:4">
      <c r="A2" s="112"/>
      <c r="B2" s="112"/>
      <c r="C2" s="113" t="s">
        <v>52</v>
      </c>
      <c r="D2" s="113" t="s">
        <v>52</v>
      </c>
    </row>
    <row r="3" ht="16.25" spans="1:4">
      <c r="A3" s="114" t="s">
        <v>219</v>
      </c>
      <c r="B3" s="115"/>
      <c r="C3" s="113"/>
      <c r="D3" s="113"/>
    </row>
    <row r="4" ht="16.25" spans="1:4">
      <c r="A4" t="s">
        <v>27</v>
      </c>
      <c r="B4" s="116">
        <v>5</v>
      </c>
      <c r="C4" s="117">
        <v>310836376</v>
      </c>
      <c r="D4" s="118">
        <v>277355760</v>
      </c>
    </row>
    <row r="5" ht="16.25" spans="1:4">
      <c r="A5" t="s">
        <v>28</v>
      </c>
      <c r="B5" s="116">
        <v>6</v>
      </c>
      <c r="C5" s="119">
        <v>59968246</v>
      </c>
      <c r="D5" s="120">
        <v>33430371</v>
      </c>
    </row>
    <row r="6" ht="16.25" spans="1:4">
      <c r="A6" t="s">
        <v>29</v>
      </c>
      <c r="B6" s="116">
        <v>7</v>
      </c>
      <c r="C6" s="119">
        <v>18492483</v>
      </c>
      <c r="D6" s="120">
        <v>39316270</v>
      </c>
    </row>
    <row r="7" ht="16.25" spans="1:4">
      <c r="A7" t="s">
        <v>30</v>
      </c>
      <c r="B7" s="116">
        <v>8</v>
      </c>
      <c r="C7" s="119">
        <v>5889765841</v>
      </c>
      <c r="D7" s="120">
        <v>4435750870</v>
      </c>
    </row>
    <row r="8" ht="16.25" spans="1:4">
      <c r="A8" t="s">
        <v>31</v>
      </c>
      <c r="B8" s="116">
        <v>9</v>
      </c>
      <c r="C8" s="119">
        <v>1443481944</v>
      </c>
      <c r="D8" s="120">
        <v>872040932</v>
      </c>
    </row>
    <row r="9" spans="1:4">
      <c r="A9" t="s">
        <v>36</v>
      </c>
      <c r="B9" s="116">
        <v>14</v>
      </c>
      <c r="C9" s="121">
        <v>247937251</v>
      </c>
      <c r="D9" s="122">
        <v>159156653</v>
      </c>
    </row>
    <row r="10" spans="1:4">
      <c r="C10" s="123">
        <f>SUM(C4:C9)</f>
        <v>7970482141</v>
      </c>
      <c r="D10" s="123">
        <f>SUM(D4:D9)</f>
        <v>5817050856</v>
      </c>
    </row>
    <row r="11" ht="16.25" spans="1:4">
      <c r="A11" s="124" t="s">
        <v>220</v>
      </c>
    </row>
    <row r="12" ht="16.25" spans="1:4">
      <c r="A12" t="s">
        <v>54</v>
      </c>
      <c r="B12" s="116">
        <v>16</v>
      </c>
      <c r="C12" s="117">
        <v>44221818</v>
      </c>
      <c r="D12" s="118">
        <v>21734531</v>
      </c>
    </row>
    <row r="13" ht="16.25" spans="1:4">
      <c r="A13" t="s">
        <v>55</v>
      </c>
      <c r="B13" s="116">
        <v>17</v>
      </c>
      <c r="C13" s="119">
        <v>4855373516</v>
      </c>
      <c r="D13" s="120">
        <v>2823887914</v>
      </c>
    </row>
    <row r="14" ht="16.25" spans="1:4">
      <c r="A14" t="s">
        <v>56</v>
      </c>
      <c r="B14" s="116">
        <v>18</v>
      </c>
      <c r="C14" s="119">
        <v>2639875985</v>
      </c>
      <c r="D14" s="120">
        <v>2634716102</v>
      </c>
    </row>
    <row r="15" ht="16.25" spans="1:4">
      <c r="A15" t="s">
        <v>57</v>
      </c>
      <c r="B15" s="116">
        <v>19</v>
      </c>
      <c r="C15" s="119">
        <v>12381018</v>
      </c>
      <c r="D15" s="120">
        <v>10474561</v>
      </c>
    </row>
    <row r="16" ht="16.25" spans="1:4">
      <c r="A16" t="s">
        <v>58</v>
      </c>
      <c r="B16" s="116">
        <v>20</v>
      </c>
      <c r="C16" s="119">
        <v>10000000</v>
      </c>
      <c r="D16" s="120">
        <v>10000000</v>
      </c>
    </row>
    <row r="17" ht="16.25" spans="1:4">
      <c r="A17" t="s">
        <v>59</v>
      </c>
      <c r="B17" s="116">
        <v>13</v>
      </c>
      <c r="C17" s="119">
        <v>39311263</v>
      </c>
      <c r="D17" s="120">
        <v>2079220</v>
      </c>
    </row>
    <row r="18" ht="16.25" spans="1:4">
      <c r="A18" t="s">
        <v>60</v>
      </c>
      <c r="B18" s="116">
        <v>21</v>
      </c>
      <c r="C18" s="121">
        <v>147125664</v>
      </c>
      <c r="D18" s="122">
        <v>115909963</v>
      </c>
    </row>
    <row r="19" spans="1:4">
      <c r="B19" s="125"/>
      <c r="C19" s="126">
        <f>SUM(C12:C18)</f>
        <v>7748289264</v>
      </c>
      <c r="D19" s="126">
        <f>SUM(D12:D18)</f>
        <v>5618802291</v>
      </c>
    </row>
    <row r="20" ht="16.25" spans="1:4">
      <c r="A20" s="124" t="s">
        <v>221</v>
      </c>
      <c r="C20" s="127">
        <f>C10-C19</f>
        <v>222192877</v>
      </c>
      <c r="D20" s="127">
        <f>D10-D19</f>
        <v>198248565</v>
      </c>
    </row>
    <row r="21" ht="16.25"/>
  </sheetData>
  <hyperlinks>
    <hyperlink ref="B4" location="'Supporting notes '!A2" display="5"/>
    <hyperlink ref="B5" location="'Supporting notes '!A28" display="6"/>
    <hyperlink ref="B6" location="'Supporting notes '!A44" display="7"/>
    <hyperlink ref="B8" location="'Supporting notes '!A57" display="9"/>
    <hyperlink ref="B9" location="'Supporting notes '!A152" display="14"/>
    <hyperlink ref="B12" location="'Supporting notes '!A179" display="16"/>
    <hyperlink ref="B13" location="'Supporting notes '!A186" display="17"/>
    <hyperlink ref="B14" location="'Supporting notes '!A209" display="18"/>
    <hyperlink ref="B15" location="'Supporting notes '!A226" display="19"/>
    <hyperlink ref="B17" location="'Supporting notes '! A125" display="13"/>
    <hyperlink ref="B18" location="'Supporting notes '!A238" display="21"/>
  </hyperlink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474"/>
  <sheetViews>
    <sheetView zoomScale="64" zoomScaleNormal="64" workbookViewId="0">
      <selection activeCell="A1" sqref="A1"/>
    </sheetView>
  </sheetViews>
  <sheetFormatPr defaultColWidth="8.66666666666667" defaultRowHeight="15.5"/>
  <cols>
    <col min="1" max="1" width="58.4333333333333" style="2" customWidth="1"/>
    <col min="2" max="2" width="20.8416666666667" style="3" customWidth="1"/>
    <col min="3" max="3" width="26.5083333333333" style="3" customWidth="1"/>
    <col min="4" max="4" width="18.0083333333333" style="3" customWidth="1"/>
    <col min="5" max="5" width="20.8416666666667" style="3" customWidth="1"/>
    <col min="6" max="6" width="23.8416666666667" style="3" customWidth="1"/>
    <col min="7" max="7" width="16.5083333333333" style="3" customWidth="1"/>
    <col min="8" max="8" width="8.66666666666667" style="3"/>
    <col min="16" max="16" width="14.7416666666667" customWidth="1"/>
    <col min="21" max="21" width="14.3166666666667" style="4" customWidth="1"/>
    <col min="22" max="22" width="10.3583333333333" style="4" customWidth="1"/>
  </cols>
  <sheetData>
    <row r="1" ht="39" customHeight="1" spans="1:252">
      <c r="A1" s="5" t="s">
        <v>222</v>
      </c>
    </row>
    <row r="2" s="1" customFormat="1" ht="15" customHeight="1" spans="1:252">
      <c r="A2" s="6" t="s">
        <v>223</v>
      </c>
      <c r="B2" s="7"/>
      <c r="C2" s="7"/>
      <c r="D2" s="7"/>
      <c r="E2" s="7"/>
      <c r="F2" s="7"/>
      <c r="G2" s="7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0"/>
      <c r="V2" s="10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</row>
    <row r="3" ht="22.5" customHeight="1" spans="1:252">
      <c r="A3" s="11"/>
      <c r="B3" s="12">
        <v>2024</v>
      </c>
      <c r="C3" s="12">
        <v>2023</v>
      </c>
      <c r="D3" s="13"/>
      <c r="E3" s="13"/>
      <c r="F3" s="13"/>
      <c r="G3" s="1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4"/>
      <c r="V3" s="14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</row>
    <row r="4" ht="22.5" customHeight="1" spans="1:252">
      <c r="A4" s="11"/>
      <c r="B4" s="15" t="s">
        <v>52</v>
      </c>
      <c r="C4" s="15"/>
      <c r="D4" s="13"/>
      <c r="E4" s="13"/>
      <c r="F4" s="13"/>
      <c r="G4" s="1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4"/>
      <c r="V4" s="14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</row>
    <row r="5" ht="22.5" customHeight="1" spans="1:252">
      <c r="A5" s="16" t="s">
        <v>224</v>
      </c>
      <c r="B5" s="13"/>
      <c r="C5" s="13"/>
      <c r="D5" s="13"/>
      <c r="E5" s="13"/>
      <c r="F5" s="13"/>
      <c r="G5" s="1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4"/>
      <c r="V5" s="14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</row>
    <row r="6" ht="22.5" customHeight="1" spans="1:252">
      <c r="A6" s="11" t="s">
        <v>225</v>
      </c>
      <c r="B6" s="13"/>
      <c r="C6" s="13"/>
      <c r="D6" s="13"/>
      <c r="E6" s="13"/>
      <c r="F6" s="13"/>
      <c r="G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4"/>
      <c r="V6" s="14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</row>
    <row r="7" ht="22.5" customHeight="1" spans="1:252">
      <c r="A7" s="11" t="s">
        <v>226</v>
      </c>
      <c r="B7" s="17">
        <v>53476586</v>
      </c>
      <c r="C7" s="18">
        <v>27876981</v>
      </c>
      <c r="D7" s="13"/>
      <c r="E7" s="13"/>
      <c r="F7" s="13"/>
      <c r="G7" s="1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4"/>
      <c r="V7" s="1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</row>
    <row r="8" ht="22.5" customHeight="1" spans="1:252">
      <c r="A8" s="11" t="s">
        <v>227</v>
      </c>
      <c r="B8" s="19">
        <v>8928893</v>
      </c>
      <c r="C8" s="20">
        <v>13068432</v>
      </c>
      <c r="D8" s="13"/>
      <c r="E8" s="13"/>
      <c r="F8" s="13"/>
      <c r="G8" s="1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4"/>
      <c r="V8" s="1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</row>
    <row r="9" ht="22.5" customHeight="1" spans="1:252">
      <c r="A9" s="11"/>
      <c r="B9" s="13">
        <f>SUM(B7:B8)</f>
        <v>62405479</v>
      </c>
      <c r="C9" s="13">
        <f>SUM(C7:C8)</f>
        <v>40945413</v>
      </c>
      <c r="D9" s="13"/>
      <c r="E9" s="13"/>
      <c r="F9" s="13"/>
      <c r="G9" s="1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4"/>
      <c r="V9" s="1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</row>
    <row r="10" ht="22.5" customHeight="1" spans="1:252">
      <c r="A10" s="11" t="s">
        <v>228</v>
      </c>
      <c r="B10" s="13"/>
      <c r="C10" s="13"/>
      <c r="D10" s="13"/>
      <c r="E10" s="13"/>
      <c r="F10" s="13"/>
      <c r="G10" s="1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4"/>
      <c r="V10" s="1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</row>
    <row r="11" ht="22.5" customHeight="1" spans="1:252">
      <c r="A11" s="11" t="s">
        <v>229</v>
      </c>
      <c r="B11" s="17">
        <v>108175484</v>
      </c>
      <c r="C11" s="18">
        <v>88035634</v>
      </c>
      <c r="D11" s="13"/>
      <c r="E11" s="13"/>
      <c r="F11" s="13"/>
      <c r="G11" s="1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14"/>
      <c r="V11" s="1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</row>
    <row r="12" ht="22.5" customHeight="1" spans="1:252">
      <c r="A12" s="11" t="s">
        <v>230</v>
      </c>
      <c r="B12" s="21">
        <v>5094782</v>
      </c>
      <c r="C12" s="22">
        <v>5306080</v>
      </c>
      <c r="D12" s="13"/>
      <c r="E12" s="13"/>
      <c r="F12" s="13"/>
      <c r="G12" s="1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4"/>
      <c r="V12" s="1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</row>
    <row r="13" ht="22.5" customHeight="1" spans="1:252">
      <c r="A13" s="11" t="s">
        <v>231</v>
      </c>
      <c r="B13" s="19">
        <v>8205041</v>
      </c>
      <c r="C13" s="20">
        <v>9473621</v>
      </c>
      <c r="D13" s="13"/>
      <c r="E13" s="13"/>
      <c r="F13" s="13"/>
      <c r="G13" s="1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4"/>
      <c r="V13" s="1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</row>
    <row r="14" ht="22.5" customHeight="1" spans="1:252">
      <c r="A14" s="11"/>
      <c r="B14" s="13">
        <f>SUM(B11:B13)</f>
        <v>121475307</v>
      </c>
      <c r="C14" s="13">
        <f>SUM(C11:C13)</f>
        <v>102815335</v>
      </c>
      <c r="D14" s="13"/>
      <c r="E14" s="13"/>
      <c r="F14" s="13"/>
      <c r="G14" s="1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4"/>
      <c r="V14" s="1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</row>
    <row r="15" ht="22.5" customHeight="1" spans="1:252">
      <c r="A15" s="11" t="s">
        <v>232</v>
      </c>
      <c r="B15" s="13"/>
      <c r="C15" s="13"/>
      <c r="D15" s="13"/>
      <c r="E15" s="13"/>
      <c r="F15" s="13"/>
      <c r="G15" s="1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4"/>
      <c r="V15" s="1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</row>
    <row r="16" ht="22.5" customHeight="1" spans="1:252">
      <c r="A16" s="11" t="s">
        <v>230</v>
      </c>
      <c r="B16" s="17">
        <v>88215425</v>
      </c>
      <c r="C16" s="18">
        <v>50093433</v>
      </c>
      <c r="D16" s="13"/>
      <c r="E16" s="13"/>
      <c r="F16" s="13"/>
      <c r="G16" s="1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4"/>
      <c r="V16" s="1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</row>
    <row r="17" ht="22.5" customHeight="1" spans="1:252">
      <c r="A17" s="11" t="s">
        <v>233</v>
      </c>
      <c r="B17" s="19">
        <v>19326856</v>
      </c>
      <c r="C17" s="20">
        <v>10684831</v>
      </c>
      <c r="D17" s="13"/>
      <c r="E17" s="13"/>
      <c r="F17" s="13"/>
      <c r="G17" s="1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14"/>
      <c r="V17" s="1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</row>
    <row r="18" ht="22.5" customHeight="1" spans="1:252">
      <c r="A18" s="11"/>
      <c r="B18" s="13">
        <f>SUM(B16:B17)</f>
        <v>107542281</v>
      </c>
      <c r="C18" s="13">
        <f>SUM(C16:C17)</f>
        <v>60778264</v>
      </c>
      <c r="D18" s="13"/>
      <c r="E18" s="13"/>
      <c r="F18" s="13"/>
      <c r="G18" s="1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4"/>
      <c r="V18" s="1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</row>
    <row r="19" ht="22.5" customHeight="1" spans="1:252">
      <c r="A19" s="11" t="s">
        <v>234</v>
      </c>
      <c r="B19" s="13"/>
      <c r="C19" s="13"/>
      <c r="D19" s="13"/>
      <c r="E19" s="13"/>
      <c r="F19" s="13"/>
      <c r="G19" s="1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4"/>
      <c r="V19" s="1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</row>
    <row r="20" ht="22.5" customHeight="1" spans="1:252">
      <c r="A20" s="11" t="s">
        <v>229</v>
      </c>
      <c r="B20" s="13">
        <v>19133450</v>
      </c>
      <c r="C20" s="13">
        <v>72368067</v>
      </c>
      <c r="D20" s="13"/>
      <c r="E20" s="13"/>
      <c r="F20" s="13"/>
      <c r="G20" s="1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4"/>
      <c r="V20" s="1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</row>
    <row r="21" ht="22.5" customHeight="1" spans="1:252">
      <c r="A21" s="23"/>
      <c r="B21" s="24"/>
      <c r="C21" s="24"/>
      <c r="D21" s="24"/>
      <c r="E21" s="24"/>
      <c r="F21" s="24"/>
      <c r="G21" s="2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4"/>
      <c r="V21" s="14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</row>
    <row r="22" ht="22.5" customHeight="1" spans="1:252">
      <c r="A22" s="11" t="s">
        <v>235</v>
      </c>
      <c r="B22" s="13">
        <v>479356</v>
      </c>
      <c r="C22" s="13">
        <v>448681</v>
      </c>
      <c r="D22" s="13"/>
      <c r="E22" s="13"/>
      <c r="F22" s="13"/>
      <c r="G22" s="1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4"/>
      <c r="V22" s="1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</row>
    <row r="23" ht="22.5" customHeight="1" spans="1:252">
      <c r="A23" s="11"/>
      <c r="B23" s="25">
        <f>B9+B14+B18+B20+B22</f>
        <v>311035873</v>
      </c>
      <c r="C23" s="25">
        <f>C9+C14+C18+C20+C22</f>
        <v>277355760</v>
      </c>
      <c r="D23" s="13"/>
      <c r="E23" s="13"/>
      <c r="F23" s="13"/>
      <c r="G23" s="1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14"/>
      <c r="V23" s="1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</row>
    <row r="24" ht="39" customHeight="1" spans="1:252">
      <c r="A24" s="11" t="s">
        <v>236</v>
      </c>
      <c r="B24" s="13">
        <v>-199497</v>
      </c>
      <c r="C24" s="13">
        <v>0</v>
      </c>
      <c r="D24" s="13"/>
      <c r="E24" s="13"/>
      <c r="F24" s="13"/>
      <c r="G24" s="1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14"/>
      <c r="V24" s="1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</row>
    <row r="25" ht="22.5" customHeight="1" spans="1:252">
      <c r="A25" s="23"/>
      <c r="B25" s="24"/>
      <c r="C25" s="24"/>
      <c r="D25" s="24"/>
      <c r="E25" s="24"/>
      <c r="F25" s="24"/>
      <c r="G25" s="2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14"/>
      <c r="V25" s="1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</row>
    <row r="26" ht="39" customHeight="1" spans="1:252">
      <c r="A26" s="11" t="s">
        <v>237</v>
      </c>
      <c r="B26" s="26">
        <f>B23+B24</f>
        <v>310836376</v>
      </c>
      <c r="C26" s="26">
        <f>C23+C24</f>
        <v>277355760</v>
      </c>
      <c r="D26" s="13"/>
      <c r="E26" s="13"/>
      <c r="F26" s="13"/>
      <c r="G26" s="1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14"/>
      <c r="V26" s="1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</row>
    <row r="27" ht="22.5" customHeight="1" spans="1:252">
      <c r="A27" s="23"/>
      <c r="B27" s="24"/>
      <c r="C27" s="24"/>
      <c r="D27" s="24"/>
      <c r="E27" s="24"/>
      <c r="F27" s="24"/>
      <c r="G27" s="2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14"/>
      <c r="V27" s="1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</row>
    <row r="28" ht="22.5" customHeight="1" spans="1:252">
      <c r="A28" s="27" t="s">
        <v>238</v>
      </c>
      <c r="B28" s="13"/>
      <c r="C28" s="13"/>
      <c r="D28" s="13"/>
      <c r="E28" s="13"/>
      <c r="F28" s="13"/>
      <c r="G28" s="1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14"/>
      <c r="U28" s="14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</row>
    <row r="29" ht="22.5" customHeight="1" spans="1:252">
      <c r="A29" s="28" t="s">
        <v>239</v>
      </c>
      <c r="B29" s="12">
        <v>2024</v>
      </c>
      <c r="C29" s="12">
        <v>2023</v>
      </c>
      <c r="D29" s="13"/>
      <c r="E29" s="13"/>
      <c r="F29" s="13"/>
      <c r="G29" s="1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14"/>
      <c r="U29" s="14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</row>
    <row r="30" ht="22.5" customHeight="1" spans="1:252">
      <c r="A30" s="11"/>
      <c r="B30" s="15" t="s">
        <v>52</v>
      </c>
      <c r="C30" s="15"/>
      <c r="D30" s="13"/>
      <c r="E30" s="13"/>
      <c r="F30" s="13"/>
      <c r="G30" s="1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14"/>
      <c r="U30" s="14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</row>
    <row r="31" ht="22.5" customHeight="1" spans="1:252">
      <c r="A31" s="11" t="s">
        <v>240</v>
      </c>
      <c r="B31" s="13"/>
      <c r="C31" s="13"/>
      <c r="D31" s="13"/>
      <c r="E31" s="13"/>
      <c r="F31" s="13"/>
      <c r="G31" s="13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</row>
    <row r="32" ht="22.5" customHeight="1" spans="1:252">
      <c r="A32" s="11" t="s">
        <v>241</v>
      </c>
      <c r="B32" s="17">
        <v>0</v>
      </c>
      <c r="C32" s="18">
        <v>1659</v>
      </c>
      <c r="D32" s="13"/>
      <c r="E32" s="13"/>
      <c r="F32" s="13"/>
      <c r="G32" s="13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</row>
    <row r="33" ht="22.5" customHeight="1" spans="1:252">
      <c r="A33" s="11" t="s">
        <v>242</v>
      </c>
      <c r="B33" s="19">
        <v>7</v>
      </c>
      <c r="C33" s="20">
        <v>7</v>
      </c>
      <c r="D33" s="13"/>
      <c r="E33" s="13"/>
      <c r="F33" s="13"/>
      <c r="G33" s="13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</row>
    <row r="34" ht="22.5" customHeight="1" spans="1:252">
      <c r="A34" s="11"/>
      <c r="B34" s="13">
        <f>SUM(B32:B33)</f>
        <v>7</v>
      </c>
      <c r="C34" s="13">
        <f>SUM(C32:C33)</f>
        <v>1666</v>
      </c>
      <c r="D34" s="13"/>
      <c r="E34" s="13"/>
      <c r="F34" s="13"/>
      <c r="G34" s="13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</row>
    <row r="35" ht="22.5" customHeight="1" spans="1:252">
      <c r="A35" s="11" t="s">
        <v>243</v>
      </c>
      <c r="B35" s="13"/>
      <c r="C35" s="13"/>
      <c r="D35" s="13"/>
      <c r="E35" s="13"/>
      <c r="F35" s="13"/>
      <c r="G35" s="13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</row>
    <row r="36" ht="22.5" customHeight="1" spans="1:252">
      <c r="A36" s="11" t="s">
        <v>241</v>
      </c>
      <c r="B36" s="17">
        <v>47801939</v>
      </c>
      <c r="C36" s="18">
        <v>26393747</v>
      </c>
      <c r="D36" s="13"/>
      <c r="E36" s="13"/>
      <c r="F36" s="13"/>
      <c r="G36" s="13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</row>
    <row r="37" ht="22.5" customHeight="1" spans="1:252">
      <c r="A37" s="11" t="s">
        <v>242</v>
      </c>
      <c r="B37" s="19">
        <v>12173491</v>
      </c>
      <c r="C37" s="20">
        <v>7034958</v>
      </c>
      <c r="D37" s="13"/>
      <c r="E37" s="13"/>
      <c r="F37" s="13"/>
      <c r="G37" s="13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</row>
    <row r="38" ht="22.5" customHeight="1" spans="1:252">
      <c r="A38" s="11"/>
      <c r="B38" s="13">
        <f>SUM(B36:B37)</f>
        <v>59975430</v>
      </c>
      <c r="C38" s="13">
        <f>SUM(C36:C37)</f>
        <v>33428705</v>
      </c>
      <c r="D38" s="13"/>
      <c r="E38" s="13"/>
      <c r="F38" s="13"/>
      <c r="G38" s="13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</row>
    <row r="39" ht="22.5" customHeight="1" spans="1:252">
      <c r="A39" s="11"/>
      <c r="B39" s="25">
        <f>B34+B38</f>
        <v>59975437</v>
      </c>
      <c r="C39" s="25">
        <f>C34+C38</f>
        <v>33430371</v>
      </c>
      <c r="D39" s="13"/>
      <c r="E39" s="13"/>
      <c r="F39" s="13"/>
      <c r="G39" s="13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</row>
    <row r="40" ht="39" customHeight="1" spans="1:252">
      <c r="A40" s="30" t="s">
        <v>244</v>
      </c>
      <c r="B40" s="13">
        <v>-7191</v>
      </c>
      <c r="C40" s="13">
        <v>0</v>
      </c>
      <c r="D40" s="13"/>
      <c r="E40" s="13"/>
      <c r="F40" s="13"/>
      <c r="G40" s="13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</row>
    <row r="41" ht="22.5" customHeight="1" spans="1:252">
      <c r="A41" s="31"/>
      <c r="B41" s="24"/>
      <c r="C41" s="24"/>
      <c r="D41" s="24"/>
      <c r="E41" s="24"/>
      <c r="F41" s="24"/>
      <c r="G41" s="24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</row>
    <row r="42" ht="22.5" customHeight="1" spans="1:252">
      <c r="A42" s="30" t="s">
        <v>245</v>
      </c>
      <c r="B42" s="26">
        <f>B39+B40</f>
        <v>59968246</v>
      </c>
      <c r="C42" s="26">
        <f>C39+C40</f>
        <v>33430371</v>
      </c>
      <c r="D42" s="13"/>
      <c r="E42" s="13"/>
      <c r="F42" s="13"/>
      <c r="G42" s="13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</row>
    <row r="43" ht="22.5" customHeight="1" spans="1:252">
      <c r="A43" s="23"/>
      <c r="B43" s="24"/>
      <c r="C43" s="24"/>
      <c r="D43" s="24"/>
      <c r="E43" s="24"/>
      <c r="F43" s="24"/>
      <c r="G43" s="24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</row>
    <row r="44" ht="22.5" customHeight="1" spans="1:252">
      <c r="A44" s="16" t="s">
        <v>246</v>
      </c>
      <c r="B44" s="13"/>
      <c r="C44" s="13"/>
      <c r="D44" s="13"/>
      <c r="E44" s="13"/>
      <c r="F44" s="13"/>
      <c r="G44" s="13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</row>
    <row r="45" ht="22.5" customHeight="1" spans="1:252">
      <c r="A45" s="16" t="s">
        <v>247</v>
      </c>
      <c r="B45" s="12">
        <v>2024</v>
      </c>
      <c r="C45" s="12">
        <v>2023</v>
      </c>
      <c r="D45" s="13"/>
      <c r="E45" s="13"/>
      <c r="F45" s="13"/>
      <c r="G45" s="13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</row>
    <row r="46" ht="22.5" customHeight="1" spans="1:252">
      <c r="A46" s="11"/>
      <c r="B46" s="15" t="s">
        <v>52</v>
      </c>
      <c r="C46" s="15"/>
      <c r="D46" s="13"/>
      <c r="E46" s="13"/>
      <c r="F46" s="13"/>
      <c r="G46" s="13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</row>
    <row r="47" ht="22.5" customHeight="1" spans="1:252">
      <c r="A47" s="23"/>
      <c r="B47" s="32"/>
      <c r="C47" s="32"/>
      <c r="D47" s="24"/>
      <c r="E47" s="24"/>
      <c r="F47" s="24"/>
      <c r="G47" s="24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</row>
    <row r="48" ht="22.5" customHeight="1" spans="1:252">
      <c r="A48" s="11" t="s">
        <v>248</v>
      </c>
      <c r="B48" s="13">
        <v>0</v>
      </c>
      <c r="C48" s="13">
        <v>12500000</v>
      </c>
      <c r="D48" s="13"/>
      <c r="E48" s="13"/>
      <c r="F48" s="13"/>
      <c r="G48" s="13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</row>
    <row r="49" ht="22.5" customHeight="1" spans="1:252">
      <c r="A49" s="11" t="s">
        <v>249</v>
      </c>
      <c r="B49" s="13">
        <v>2492483</v>
      </c>
      <c r="C49" s="13">
        <v>21947852</v>
      </c>
      <c r="D49" s="13"/>
      <c r="E49" s="13"/>
      <c r="F49" s="13"/>
      <c r="G49" s="13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</row>
    <row r="50" ht="22.5" customHeight="1" spans="1:252">
      <c r="A50" s="11" t="s">
        <v>250</v>
      </c>
      <c r="B50" s="13">
        <v>0</v>
      </c>
      <c r="C50" s="13">
        <v>4868418</v>
      </c>
      <c r="D50" s="13"/>
      <c r="E50" s="13"/>
      <c r="F50" s="13"/>
      <c r="G50" s="13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</row>
    <row r="51" ht="39" customHeight="1" spans="1:252">
      <c r="A51" s="11" t="s">
        <v>251</v>
      </c>
      <c r="B51" s="13">
        <v>16000000</v>
      </c>
      <c r="C51" s="13">
        <v>0</v>
      </c>
      <c r="D51" s="13"/>
      <c r="E51" s="13"/>
      <c r="F51" s="13"/>
      <c r="G51" s="13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</row>
    <row r="52" ht="22.5" customHeight="1" spans="1:252">
      <c r="A52" s="11"/>
      <c r="B52" s="25">
        <f>SUM(B48:B51)</f>
        <v>18492483</v>
      </c>
      <c r="C52" s="25">
        <f>SUM(C48:C51)</f>
        <v>39316270</v>
      </c>
      <c r="D52" s="13"/>
      <c r="E52" s="13"/>
      <c r="F52" s="13"/>
      <c r="G52" s="13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</row>
    <row r="53" ht="39" customHeight="1" spans="1:252">
      <c r="A53" s="11" t="s">
        <v>252</v>
      </c>
      <c r="B53" s="13">
        <v>0</v>
      </c>
      <c r="C53" s="13">
        <v>0</v>
      </c>
      <c r="D53" s="13"/>
      <c r="E53" s="13"/>
      <c r="F53" s="13"/>
      <c r="G53" s="13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</row>
    <row r="54" ht="22.5" customHeight="1" spans="1:252">
      <c r="A54" s="23"/>
      <c r="B54" s="24"/>
      <c r="C54" s="24"/>
      <c r="D54" s="24"/>
      <c r="E54" s="24"/>
      <c r="F54" s="24"/>
      <c r="G54" s="24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</row>
    <row r="55" ht="22.5" customHeight="1" spans="1:252">
      <c r="A55" s="11" t="s">
        <v>253</v>
      </c>
      <c r="B55" s="26">
        <f>SUM(B52:B53)</f>
        <v>18492483</v>
      </c>
      <c r="C55" s="26">
        <v>39316270</v>
      </c>
      <c r="D55" s="13"/>
      <c r="E55" s="13"/>
      <c r="F55" s="13"/>
      <c r="G55" s="13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</row>
    <row r="56" ht="22.5" customHeight="1" spans="1:252">
      <c r="A56" s="23"/>
      <c r="B56" s="24"/>
      <c r="C56" s="24"/>
      <c r="D56" s="24"/>
      <c r="E56" s="24"/>
      <c r="F56" s="24"/>
      <c r="G56" s="24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</row>
    <row r="57" ht="22.5" customHeight="1" spans="1:252">
      <c r="A57" s="16" t="s">
        <v>254</v>
      </c>
      <c r="B57" s="13"/>
      <c r="C57" s="13"/>
      <c r="D57" s="13"/>
      <c r="E57" s="13"/>
      <c r="F57" s="13"/>
      <c r="G57" s="13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</row>
    <row r="58" ht="22.5" customHeight="1" spans="1:252">
      <c r="A58" s="16" t="s">
        <v>255</v>
      </c>
      <c r="B58" s="12">
        <v>2024</v>
      </c>
      <c r="C58" s="12"/>
      <c r="D58" s="12"/>
      <c r="E58" s="13"/>
      <c r="F58" s="13"/>
      <c r="G58" s="13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</row>
    <row r="59" ht="22.5" customHeight="1" spans="1:252">
      <c r="A59" s="16"/>
      <c r="B59" s="15" t="s">
        <v>52</v>
      </c>
      <c r="C59" s="15"/>
      <c r="D59" s="13"/>
      <c r="E59" s="13"/>
      <c r="F59" s="13"/>
      <c r="G59" s="13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</row>
    <row r="60" ht="22.5" customHeight="1" spans="1:252">
      <c r="A60" s="23"/>
      <c r="B60" s="24"/>
      <c r="C60" s="24"/>
      <c r="D60" s="24"/>
      <c r="E60" s="24"/>
      <c r="F60" s="24"/>
      <c r="G60" s="24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</row>
    <row r="61" ht="22.5" customHeight="1" spans="1:252">
      <c r="A61" s="11"/>
      <c r="B61" s="15" t="s">
        <v>256</v>
      </c>
      <c r="C61" s="15" t="s">
        <v>257</v>
      </c>
      <c r="D61" s="15" t="s">
        <v>138</v>
      </c>
      <c r="E61" s="13"/>
      <c r="F61" s="13"/>
      <c r="G61" s="13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</row>
    <row r="62" ht="22.5" customHeight="1" spans="1:252">
      <c r="A62" s="23"/>
      <c r="B62" s="24"/>
      <c r="C62" s="24"/>
      <c r="D62" s="24"/>
      <c r="E62" s="24"/>
      <c r="F62" s="24"/>
      <c r="G62" s="24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</row>
    <row r="63" ht="22.5" customHeight="1" spans="1:252">
      <c r="A63" s="11" t="s">
        <v>258</v>
      </c>
      <c r="B63" s="13">
        <v>1250821132</v>
      </c>
      <c r="C63" s="13">
        <v>108082351</v>
      </c>
      <c r="D63" s="13">
        <v>1358903483</v>
      </c>
      <c r="E63" s="13"/>
      <c r="F63" s="13"/>
      <c r="G63" s="13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</row>
    <row r="64" ht="22.5" customHeight="1" spans="1:252">
      <c r="A64" s="11" t="s">
        <v>259</v>
      </c>
      <c r="B64" s="13">
        <v>149696208</v>
      </c>
      <c r="C64" s="13">
        <v>260774</v>
      </c>
      <c r="D64" s="13">
        <v>149956982</v>
      </c>
      <c r="E64" s="13"/>
      <c r="F64" s="13"/>
      <c r="G64" s="13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</row>
    <row r="65" ht="22.5" customHeight="1" spans="1:252">
      <c r="A65" s="11" t="s">
        <v>260</v>
      </c>
      <c r="B65" s="13">
        <v>48618071</v>
      </c>
      <c r="C65" s="13">
        <v>7648825</v>
      </c>
      <c r="D65" s="13">
        <v>56266896</v>
      </c>
      <c r="E65" s="13"/>
      <c r="F65" s="13"/>
      <c r="G65" s="13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</row>
    <row r="66" ht="22.5" customHeight="1" spans="1:252">
      <c r="A66" s="11"/>
      <c r="B66" s="25">
        <f>SUM(B63:B65)</f>
        <v>1449135411</v>
      </c>
      <c r="C66" s="25">
        <f>SUM(C63:C65)</f>
        <v>115991950</v>
      </c>
      <c r="D66" s="25">
        <f>SUM(D63:D65)</f>
        <v>1565127361</v>
      </c>
      <c r="E66" s="13"/>
      <c r="F66" s="13"/>
      <c r="G66" s="13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</row>
    <row r="67" ht="22.5" customHeight="1" spans="1:252">
      <c r="A67" s="16" t="s">
        <v>261</v>
      </c>
      <c r="B67" s="13"/>
      <c r="C67" s="13"/>
      <c r="D67" s="13"/>
      <c r="E67" s="13"/>
      <c r="F67" s="13"/>
      <c r="G67" s="13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</row>
    <row r="68" ht="22.5" customHeight="1" spans="1:252">
      <c r="A68" s="11" t="s">
        <v>262</v>
      </c>
      <c r="B68" s="13"/>
      <c r="C68" s="13"/>
      <c r="D68" s="13"/>
      <c r="E68" s="13"/>
      <c r="F68" s="13"/>
      <c r="G68" s="13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</row>
    <row r="69" ht="22.5" customHeight="1" spans="1:252">
      <c r="A69" s="33" t="s">
        <v>263</v>
      </c>
      <c r="B69" s="17">
        <v>-6009588</v>
      </c>
      <c r="C69" s="25">
        <v>0</v>
      </c>
      <c r="D69" s="18">
        <v>-6009588</v>
      </c>
      <c r="E69" s="13"/>
      <c r="F69" s="13"/>
      <c r="G69" s="13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</row>
    <row r="70" ht="22.5" customHeight="1" spans="1:252">
      <c r="A70" s="33" t="s">
        <v>264</v>
      </c>
      <c r="B70" s="21">
        <v>-7736178</v>
      </c>
      <c r="C70" s="13">
        <v>0</v>
      </c>
      <c r="D70" s="22">
        <v>-7736178</v>
      </c>
      <c r="E70" s="13"/>
      <c r="F70" s="13"/>
      <c r="G70" s="13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</row>
    <row r="71" ht="22.5" customHeight="1" spans="1:252">
      <c r="A71" s="33" t="s">
        <v>265</v>
      </c>
      <c r="B71" s="19">
        <v>0</v>
      </c>
      <c r="C71" s="34">
        <v>-107899651</v>
      </c>
      <c r="D71" s="20">
        <v>-107899651</v>
      </c>
      <c r="E71" s="13"/>
      <c r="F71" s="13"/>
      <c r="G71" s="13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</row>
    <row r="72" ht="22.5" customHeight="1" spans="1:252">
      <c r="A72" s="11"/>
      <c r="B72" s="34">
        <f>SUM(B69:B71)</f>
        <v>-13745766</v>
      </c>
      <c r="C72" s="34">
        <f>SUM(C69:C71)</f>
        <v>-107899651</v>
      </c>
      <c r="D72" s="34">
        <f>SUM(D69:D71)</f>
        <v>-121645417</v>
      </c>
      <c r="E72" s="13"/>
      <c r="F72" s="13"/>
      <c r="G72" s="13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</row>
    <row r="73" ht="22.5" customHeight="1" spans="1:252">
      <c r="A73" s="11" t="s">
        <v>266</v>
      </c>
      <c r="B73" s="35">
        <f>B66+B72</f>
        <v>1435389645</v>
      </c>
      <c r="C73" s="35">
        <f>C66+C72</f>
        <v>8092299</v>
      </c>
      <c r="D73" s="35">
        <f>D66+D72</f>
        <v>1443481944</v>
      </c>
      <c r="E73" s="13"/>
      <c r="F73" s="13"/>
      <c r="G73" s="13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</row>
    <row r="74" ht="22.5" customHeight="1" spans="1:252">
      <c r="A74" s="23"/>
      <c r="B74" s="24"/>
      <c r="C74" s="24"/>
      <c r="D74" s="24"/>
      <c r="E74" s="24"/>
      <c r="F74" s="24"/>
      <c r="G74" s="24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</row>
    <row r="75" ht="22.5" customHeight="1" spans="1:252">
      <c r="A75" s="11"/>
      <c r="B75" s="12">
        <v>2023</v>
      </c>
      <c r="C75" s="12"/>
      <c r="D75" s="12"/>
      <c r="E75" s="13"/>
      <c r="F75" s="13"/>
      <c r="G75" s="13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</row>
    <row r="76" ht="22.5" customHeight="1" spans="1:252">
      <c r="A76" s="11"/>
      <c r="B76" s="15"/>
      <c r="C76" s="15" t="s">
        <v>52</v>
      </c>
      <c r="D76" s="15"/>
      <c r="E76" s="13"/>
      <c r="F76" s="13"/>
      <c r="G76" s="13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</row>
    <row r="77" ht="22.5" customHeight="1" spans="1:252">
      <c r="A77" s="23"/>
      <c r="B77" s="24"/>
      <c r="C77" s="24"/>
      <c r="D77" s="24"/>
      <c r="E77" s="24"/>
      <c r="F77" s="24"/>
      <c r="G77" s="24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</row>
    <row r="78" ht="22.5" customHeight="1" spans="1:252">
      <c r="A78" s="11"/>
      <c r="B78" s="15" t="s">
        <v>256</v>
      </c>
      <c r="C78" s="15" t="s">
        <v>257</v>
      </c>
      <c r="D78" s="15" t="s">
        <v>138</v>
      </c>
      <c r="E78" s="13"/>
      <c r="F78" s="13"/>
      <c r="G78" s="13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</row>
    <row r="79" ht="22.5" customHeight="1" spans="1:252">
      <c r="A79" s="23"/>
      <c r="B79" s="24"/>
      <c r="C79" s="24"/>
      <c r="D79" s="24"/>
      <c r="E79" s="24"/>
      <c r="F79" s="24"/>
      <c r="G79" s="24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</row>
    <row r="80" ht="22.5" customHeight="1" spans="1:252">
      <c r="A80" s="11" t="s">
        <v>258</v>
      </c>
      <c r="B80" s="13">
        <v>800959576</v>
      </c>
      <c r="C80" s="13">
        <v>107369561</v>
      </c>
      <c r="D80" s="13">
        <v>908329137</v>
      </c>
      <c r="E80" s="13"/>
      <c r="F80" s="13"/>
      <c r="G80" s="13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</row>
    <row r="81" ht="22.5" customHeight="1" spans="1:252">
      <c r="A81" s="11" t="s">
        <v>259</v>
      </c>
      <c r="B81" s="13">
        <v>47191822</v>
      </c>
      <c r="C81" s="13">
        <v>222205</v>
      </c>
      <c r="D81" s="13">
        <v>47414027</v>
      </c>
      <c r="E81" s="13"/>
      <c r="F81" s="13"/>
      <c r="G81" s="13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</row>
    <row r="82" ht="22.5" customHeight="1" spans="1:252">
      <c r="A82" s="11" t="s">
        <v>260</v>
      </c>
      <c r="B82" s="13">
        <v>16976674</v>
      </c>
      <c r="C82" s="13">
        <v>2982770</v>
      </c>
      <c r="D82" s="13">
        <v>19959444</v>
      </c>
      <c r="E82" s="13"/>
      <c r="F82" s="13"/>
      <c r="G82" s="13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</row>
    <row r="83" ht="22.5" customHeight="1" spans="1:252">
      <c r="A83" s="11"/>
      <c r="B83" s="25">
        <f>SUM(B80:B82)</f>
        <v>865128072</v>
      </c>
      <c r="C83" s="25">
        <f>SUM(C80:C82)</f>
        <v>110574536</v>
      </c>
      <c r="D83" s="25">
        <f>SUM(D80:D82)</f>
        <v>975702608</v>
      </c>
      <c r="E83" s="13"/>
      <c r="F83" s="13"/>
      <c r="G83" s="13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</row>
    <row r="84" ht="22.5" customHeight="1" spans="1:252">
      <c r="A84" s="16" t="s">
        <v>267</v>
      </c>
      <c r="B84" s="13"/>
      <c r="C84" s="13"/>
      <c r="D84" s="13"/>
      <c r="E84" s="13"/>
      <c r="F84" s="13"/>
      <c r="G84" s="13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</row>
    <row r="85" ht="22.5" customHeight="1" spans="1:252">
      <c r="A85" s="11" t="s">
        <v>268</v>
      </c>
      <c r="B85" s="13"/>
      <c r="C85" s="13"/>
      <c r="D85" s="13"/>
      <c r="E85" s="13"/>
      <c r="F85" s="13"/>
      <c r="G85" s="13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</row>
    <row r="86" ht="22.5" customHeight="1" spans="1:252">
      <c r="A86" s="36" t="s">
        <v>269</v>
      </c>
      <c r="B86" s="17">
        <v>0</v>
      </c>
      <c r="C86" s="25">
        <v>-92332287</v>
      </c>
      <c r="D86" s="18">
        <v>-92332287</v>
      </c>
      <c r="E86" s="13"/>
      <c r="F86" s="13"/>
      <c r="G86" s="13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</row>
    <row r="87" ht="22.5" customHeight="1" spans="1:252">
      <c r="A87" s="36" t="s">
        <v>270</v>
      </c>
      <c r="B87" s="19">
        <v>-11329389</v>
      </c>
      <c r="C87" s="34">
        <v>0</v>
      </c>
      <c r="D87" s="20">
        <v>-11329389</v>
      </c>
      <c r="E87" s="13"/>
      <c r="F87" s="13"/>
      <c r="G87" s="13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</row>
    <row r="88" ht="22.5" customHeight="1" spans="1:252">
      <c r="A88" s="36"/>
      <c r="B88" s="13">
        <f>SUM(B86:B87)</f>
        <v>-11329389</v>
      </c>
      <c r="C88" s="13">
        <f>SUM(C86:C87)</f>
        <v>-92332287</v>
      </c>
      <c r="D88" s="13">
        <f>SUM(D86:D87)</f>
        <v>-103661676</v>
      </c>
      <c r="E88" s="13"/>
      <c r="F88" s="13"/>
      <c r="G88" s="13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</row>
    <row r="89" ht="22.5" customHeight="1" spans="1:252">
      <c r="A89" s="11" t="s">
        <v>271</v>
      </c>
      <c r="B89" s="26">
        <f>B83+B88</f>
        <v>853798683</v>
      </c>
      <c r="C89" s="26">
        <v>18242249</v>
      </c>
      <c r="D89" s="26">
        <v>872040932</v>
      </c>
      <c r="E89" s="13"/>
      <c r="F89" s="13"/>
      <c r="G89" s="13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</row>
    <row r="90" ht="22.5" customHeight="1" spans="1:252">
      <c r="A90" s="23"/>
      <c r="B90" s="24"/>
      <c r="C90" s="24"/>
      <c r="D90" s="24"/>
      <c r="E90" s="24"/>
      <c r="F90" s="24"/>
      <c r="G90" s="24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</row>
    <row r="91" ht="22.5" customHeight="1" spans="1:252">
      <c r="A91" s="16" t="s">
        <v>272</v>
      </c>
      <c r="B91" s="13"/>
      <c r="C91" s="13"/>
      <c r="D91" s="13"/>
      <c r="E91" s="13"/>
      <c r="F91" s="13"/>
      <c r="G91" s="13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</row>
    <row r="92" ht="22.5" customHeight="1" spans="1:252">
      <c r="A92" s="16" t="s">
        <v>273</v>
      </c>
      <c r="B92" s="13"/>
      <c r="C92" s="13"/>
      <c r="D92" s="13"/>
      <c r="E92" s="13"/>
      <c r="F92" s="13"/>
      <c r="G92" s="13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</row>
    <row r="93" ht="22.5" customHeight="1" spans="1:252">
      <c r="A93" s="11"/>
      <c r="B93" s="12">
        <v>2024</v>
      </c>
      <c r="C93" s="12">
        <v>2023</v>
      </c>
      <c r="D93" s="13"/>
      <c r="E93" s="13"/>
      <c r="F93" s="13"/>
      <c r="G93" s="13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</row>
    <row r="94" ht="22.5" customHeight="1" spans="1:252">
      <c r="A94" s="11"/>
      <c r="B94" s="15" t="s">
        <v>52</v>
      </c>
      <c r="C94" s="15"/>
      <c r="D94" s="13"/>
      <c r="E94" s="13"/>
      <c r="F94" s="13"/>
      <c r="G94" s="13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</row>
    <row r="95" ht="22.5" customHeight="1" spans="1:252">
      <c r="A95" s="11" t="s">
        <v>274</v>
      </c>
      <c r="B95" s="13">
        <v>3357691</v>
      </c>
      <c r="C95" s="13">
        <v>1353200</v>
      </c>
      <c r="D95" s="13"/>
      <c r="E95" s="13"/>
      <c r="F95" s="13"/>
      <c r="G95" s="13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</row>
    <row r="96" ht="22.5" customHeight="1" spans="1:252">
      <c r="A96" s="11" t="s">
        <v>275</v>
      </c>
      <c r="B96" s="13">
        <v>82234308</v>
      </c>
      <c r="C96" s="13">
        <v>75106959</v>
      </c>
      <c r="D96" s="13"/>
      <c r="E96" s="13"/>
      <c r="F96" s="13"/>
      <c r="G96" s="13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</row>
    <row r="97" ht="22.5" customHeight="1" spans="1:252">
      <c r="A97" s="11"/>
      <c r="B97" s="26">
        <v>85591999</v>
      </c>
      <c r="C97" s="26">
        <v>76460159</v>
      </c>
      <c r="D97" s="13"/>
      <c r="E97" s="13"/>
      <c r="F97" s="13"/>
      <c r="G97" s="13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</row>
    <row r="98" ht="22.5" customHeight="1" spans="1:252">
      <c r="A98" s="23"/>
      <c r="B98" s="24"/>
      <c r="C98" s="24"/>
      <c r="D98" s="24"/>
      <c r="E98" s="24"/>
      <c r="F98" s="24"/>
      <c r="G98" s="24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</row>
    <row r="99" ht="22.5" customHeight="1" spans="1:252">
      <c r="A99" s="16" t="s">
        <v>276</v>
      </c>
      <c r="B99" s="13"/>
      <c r="C99" s="13"/>
      <c r="D99" s="13"/>
      <c r="E99" s="13"/>
      <c r="F99" s="13"/>
      <c r="G99" s="13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</row>
    <row r="100" ht="22.5" customHeight="1" spans="1:252">
      <c r="A100" s="16" t="s">
        <v>277</v>
      </c>
      <c r="B100" s="13"/>
      <c r="C100" s="13"/>
      <c r="D100" s="13"/>
      <c r="E100" s="13"/>
      <c r="F100" s="13"/>
      <c r="G100" s="13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</row>
    <row r="101" ht="22.5" customHeight="1" spans="1:252">
      <c r="A101" s="37"/>
      <c r="B101" s="38">
        <v>2024</v>
      </c>
      <c r="C101" s="39"/>
      <c r="D101" s="40"/>
      <c r="E101" s="38">
        <v>2023</v>
      </c>
      <c r="F101" s="39"/>
      <c r="G101" s="40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</row>
    <row r="102" ht="22.5" customHeight="1" spans="1:252">
      <c r="A102" s="42"/>
      <c r="B102" s="43" t="s">
        <v>52</v>
      </c>
      <c r="C102" s="44"/>
      <c r="D102" s="44"/>
      <c r="E102" s="44"/>
      <c r="F102" s="44"/>
      <c r="G102" s="44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</row>
    <row r="103" ht="22.5" customHeight="1" spans="1:252">
      <c r="A103" s="42"/>
      <c r="B103" s="45" t="s">
        <v>278</v>
      </c>
      <c r="C103" s="45" t="s">
        <v>279</v>
      </c>
      <c r="D103" s="45" t="s">
        <v>138</v>
      </c>
      <c r="E103" s="45" t="s">
        <v>278</v>
      </c>
      <c r="F103" s="46" t="s">
        <v>279</v>
      </c>
      <c r="G103" s="15" t="s">
        <v>138</v>
      </c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</row>
    <row r="104" ht="22.5" customHeight="1" spans="1:252">
      <c r="A104" s="42" t="s">
        <v>280</v>
      </c>
      <c r="B104" s="47"/>
      <c r="C104" s="47"/>
      <c r="D104" s="47"/>
      <c r="E104" s="47"/>
      <c r="F104" s="48"/>
      <c r="G104" s="13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</row>
    <row r="105" ht="22.5" customHeight="1" spans="1:252">
      <c r="A105" s="42" t="s">
        <v>281</v>
      </c>
      <c r="B105" s="47">
        <v>14136595</v>
      </c>
      <c r="C105" s="47">
        <v>209786</v>
      </c>
      <c r="D105" s="47">
        <v>14346381</v>
      </c>
      <c r="E105" s="47">
        <v>12714260</v>
      </c>
      <c r="F105" s="48">
        <v>89986</v>
      </c>
      <c r="G105" s="13">
        <f>E105+F105</f>
        <v>12804246</v>
      </c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</row>
    <row r="106" ht="22.5" customHeight="1" spans="1:252">
      <c r="A106" s="42" t="s">
        <v>282</v>
      </c>
      <c r="B106" s="47">
        <v>-5656792</v>
      </c>
      <c r="C106" s="47">
        <v>-78116</v>
      </c>
      <c r="D106" s="47">
        <v>-5734908</v>
      </c>
      <c r="E106" s="47">
        <v>-4803576</v>
      </c>
      <c r="F106" s="48">
        <v>-23071</v>
      </c>
      <c r="G106" s="13">
        <f t="shared" ref="G106:G115" si="0">E106+F106</f>
        <v>-4826647</v>
      </c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</row>
    <row r="107" ht="22.5" customHeight="1" spans="1:252">
      <c r="A107" s="42" t="s">
        <v>283</v>
      </c>
      <c r="B107" s="49">
        <f>SUM(B105:B106)</f>
        <v>8479803</v>
      </c>
      <c r="C107" s="49">
        <f>SUM(C105:C106)</f>
        <v>131670</v>
      </c>
      <c r="D107" s="49">
        <f>SUM(D105:D106)</f>
        <v>8611473</v>
      </c>
      <c r="E107" s="49">
        <f>SUM(E105:E106)</f>
        <v>7910684</v>
      </c>
      <c r="F107" s="49">
        <f>SUM(F105:F106)</f>
        <v>66915</v>
      </c>
      <c r="G107" s="25">
        <f t="shared" si="0"/>
        <v>7977599</v>
      </c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</row>
    <row r="108" ht="22.5" customHeight="1" spans="1:252">
      <c r="A108" s="50"/>
      <c r="B108" s="51"/>
      <c r="C108" s="51"/>
      <c r="D108" s="51"/>
      <c r="E108" s="51"/>
      <c r="F108" s="51"/>
      <c r="G108" s="24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</row>
    <row r="109" ht="22.5" customHeight="1" spans="1:252">
      <c r="A109" s="42" t="s">
        <v>284</v>
      </c>
      <c r="B109" s="47">
        <v>5007548</v>
      </c>
      <c r="C109" s="47">
        <v>19761</v>
      </c>
      <c r="D109" s="47">
        <v>5027309</v>
      </c>
      <c r="E109" s="47">
        <v>3183903</v>
      </c>
      <c r="F109" s="48">
        <v>124328</v>
      </c>
      <c r="G109" s="13">
        <f t="shared" si="0"/>
        <v>3308231</v>
      </c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</row>
    <row r="110" ht="22.5" customHeight="1" spans="1:252">
      <c r="A110" s="42" t="s">
        <v>285</v>
      </c>
      <c r="B110" s="47">
        <v>-852122</v>
      </c>
      <c r="C110" s="47">
        <v>-11130</v>
      </c>
      <c r="D110" s="47">
        <v>-863252</v>
      </c>
      <c r="E110" s="47">
        <v>-373111</v>
      </c>
      <c r="F110" s="48">
        <v>-1448</v>
      </c>
      <c r="G110" s="13">
        <f t="shared" si="0"/>
        <v>-374559</v>
      </c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</row>
    <row r="111" ht="22.5" customHeight="1" spans="1:252">
      <c r="A111" s="42" t="s">
        <v>286</v>
      </c>
      <c r="B111" s="47">
        <v>-2458378</v>
      </c>
      <c r="C111" s="47">
        <v>-66719</v>
      </c>
      <c r="D111" s="47">
        <v>-2525097</v>
      </c>
      <c r="E111" s="47">
        <v>-2272547</v>
      </c>
      <c r="F111" s="48">
        <v>-63832</v>
      </c>
      <c r="G111" s="13">
        <f t="shared" si="0"/>
        <v>-2336379</v>
      </c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</row>
    <row r="112" ht="22.5" customHeight="1" spans="1:252">
      <c r="A112" s="42" t="s">
        <v>287</v>
      </c>
      <c r="B112" s="47">
        <v>-7867</v>
      </c>
      <c r="C112" s="47">
        <v>0</v>
      </c>
      <c r="D112" s="47">
        <v>-7867</v>
      </c>
      <c r="E112" s="47">
        <v>0</v>
      </c>
      <c r="F112" s="48">
        <v>0</v>
      </c>
      <c r="G112" s="13">
        <f t="shared" si="0"/>
        <v>0</v>
      </c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</row>
    <row r="113" ht="22.5" customHeight="1" spans="1:90">
      <c r="A113" s="42" t="s">
        <v>288</v>
      </c>
      <c r="B113" s="47">
        <v>-11</v>
      </c>
      <c r="C113" s="47">
        <v>-283</v>
      </c>
      <c r="D113" s="47">
        <v>-294</v>
      </c>
      <c r="E113" s="47">
        <v>30874</v>
      </c>
      <c r="F113" s="48">
        <v>5707</v>
      </c>
      <c r="G113" s="13">
        <f t="shared" si="0"/>
        <v>36581</v>
      </c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</row>
    <row r="114" ht="22.5" customHeight="1" spans="1:90">
      <c r="A114" s="42" t="s">
        <v>289</v>
      </c>
      <c r="B114" s="47">
        <v>0</v>
      </c>
      <c r="C114" s="47">
        <v>-11151</v>
      </c>
      <c r="D114" s="47">
        <v>-11151</v>
      </c>
      <c r="E114" s="47">
        <v>0</v>
      </c>
      <c r="F114" s="48">
        <v>0</v>
      </c>
      <c r="G114" s="13">
        <f t="shared" si="0"/>
        <v>0</v>
      </c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</row>
    <row r="115" ht="22.5" customHeight="1" spans="1:90">
      <c r="A115" s="52" t="s">
        <v>290</v>
      </c>
      <c r="B115" s="53">
        <f>SUM(B107:B114)</f>
        <v>10168973</v>
      </c>
      <c r="C115" s="53">
        <f>SUM(C107:C114)</f>
        <v>62148</v>
      </c>
      <c r="D115" s="53">
        <f>SUM(D107:D114)</f>
        <v>10231121</v>
      </c>
      <c r="E115" s="53">
        <f>SUM(E107:E114)</f>
        <v>8479803</v>
      </c>
      <c r="F115" s="53">
        <f>SUM(F107:F114)</f>
        <v>131670</v>
      </c>
      <c r="G115" s="26">
        <f t="shared" si="0"/>
        <v>8611473</v>
      </c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</row>
    <row r="116" ht="22.5" customHeight="1" spans="1:90">
      <c r="A116" s="23"/>
      <c r="B116" s="24"/>
      <c r="C116" s="24"/>
      <c r="D116" s="24"/>
      <c r="E116" s="24"/>
      <c r="F116" s="24"/>
      <c r="G116" s="24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</row>
    <row r="117" ht="22.5" customHeight="1" spans="1:90">
      <c r="A117" s="16" t="s">
        <v>291</v>
      </c>
      <c r="B117" s="13"/>
      <c r="C117" s="13"/>
      <c r="D117" s="13"/>
      <c r="E117" s="13"/>
      <c r="F117" s="13"/>
      <c r="G117" s="13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</row>
    <row r="118" ht="22.5" customHeight="1" spans="1:90">
      <c r="A118" s="16" t="s">
        <v>292</v>
      </c>
      <c r="B118" s="12">
        <v>2024</v>
      </c>
      <c r="C118" s="12">
        <v>2023</v>
      </c>
      <c r="D118" s="13"/>
      <c r="E118" s="13"/>
      <c r="F118" s="13"/>
      <c r="G118" s="13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</row>
    <row r="119" ht="22.5" customHeight="1" spans="1:90">
      <c r="A119" s="16"/>
      <c r="B119" s="15" t="s">
        <v>52</v>
      </c>
      <c r="C119" s="15"/>
      <c r="D119" s="13"/>
      <c r="E119" s="13"/>
      <c r="F119" s="13"/>
      <c r="G119" s="13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</row>
    <row r="120" ht="22.5" customHeight="1" spans="1:90">
      <c r="A120" s="31"/>
      <c r="B120" s="54"/>
      <c r="C120" s="54"/>
      <c r="D120" s="24"/>
      <c r="E120" s="24"/>
      <c r="F120" s="24"/>
      <c r="G120" s="24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</row>
    <row r="121" ht="22.5" customHeight="1" spans="1:90">
      <c r="A121" s="42" t="s">
        <v>293</v>
      </c>
      <c r="B121" s="47">
        <v>181419</v>
      </c>
      <c r="C121" s="48">
        <v>174853</v>
      </c>
      <c r="D121" s="13"/>
      <c r="E121" s="13"/>
      <c r="F121" s="13"/>
      <c r="G121" s="13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</row>
    <row r="122" ht="22.5" customHeight="1" spans="1:90">
      <c r="A122" s="42" t="s">
        <v>34</v>
      </c>
      <c r="B122" s="47">
        <v>2359071</v>
      </c>
      <c r="C122" s="48">
        <v>2377545</v>
      </c>
      <c r="D122" s="13"/>
      <c r="E122" s="13"/>
      <c r="F122" s="13"/>
      <c r="G122" s="13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</row>
    <row r="123" ht="22.5" customHeight="1" spans="1:90">
      <c r="A123" s="42" t="s">
        <v>294</v>
      </c>
      <c r="B123" s="47">
        <v>251526</v>
      </c>
      <c r="C123" s="48">
        <v>0</v>
      </c>
      <c r="D123" s="13"/>
      <c r="E123" s="13"/>
      <c r="F123" s="13"/>
      <c r="G123" s="13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</row>
    <row r="124" ht="22.5" customHeight="1" spans="1:90">
      <c r="A124" s="52"/>
      <c r="B124" s="55">
        <f>SUM(B121:B123)</f>
        <v>2792016</v>
      </c>
      <c r="C124" s="55">
        <f>SUM(C121:C123)</f>
        <v>2552398</v>
      </c>
      <c r="D124" s="13"/>
      <c r="E124" s="13"/>
      <c r="F124" s="13"/>
      <c r="G124" s="13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</row>
    <row r="125" ht="22.5" customHeight="1" spans="1:90">
      <c r="A125" s="16" t="s">
        <v>295</v>
      </c>
      <c r="B125" s="13"/>
      <c r="C125" s="13"/>
      <c r="D125" s="13"/>
      <c r="E125" s="13"/>
      <c r="F125" s="13"/>
      <c r="G125" s="13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</row>
    <row r="126" ht="22.5" customHeight="1" spans="1:90">
      <c r="A126" s="16" t="s">
        <v>296</v>
      </c>
      <c r="B126" s="13"/>
      <c r="C126" s="13"/>
      <c r="D126" s="13"/>
      <c r="E126" s="13"/>
      <c r="F126" s="13"/>
      <c r="G126" s="13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</row>
    <row r="127" ht="22.5" customHeight="1" spans="1:90">
      <c r="A127" s="16"/>
      <c r="B127" s="12">
        <v>2024</v>
      </c>
      <c r="C127" s="12"/>
      <c r="D127" s="12"/>
      <c r="E127" s="12"/>
      <c r="F127" s="12"/>
      <c r="G127" s="13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</row>
    <row r="128" ht="22.5" customHeight="1" spans="1:90">
      <c r="A128" s="11"/>
      <c r="B128" s="56" t="s">
        <v>297</v>
      </c>
      <c r="C128" s="56" t="s">
        <v>298</v>
      </c>
      <c r="D128" s="56" t="s">
        <v>299</v>
      </c>
      <c r="E128" s="56" t="s">
        <v>300</v>
      </c>
      <c r="F128" s="56" t="s">
        <v>301</v>
      </c>
      <c r="G128" s="13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</row>
    <row r="129" ht="22.5" customHeight="1" spans="1:90">
      <c r="A129" s="11"/>
      <c r="B129" s="15"/>
      <c r="C129" s="15"/>
      <c r="D129" s="15"/>
      <c r="E129" s="15"/>
      <c r="F129" s="15"/>
      <c r="G129" s="13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</row>
    <row r="130" ht="22.5" customHeight="1" spans="1:90">
      <c r="A130" s="11"/>
      <c r="B130" s="15"/>
      <c r="C130" s="15"/>
      <c r="D130" s="15"/>
      <c r="E130" s="15"/>
      <c r="F130" s="15"/>
      <c r="G130" s="13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</row>
    <row r="131" ht="22.5" customHeight="1" spans="1:90">
      <c r="A131" s="11"/>
      <c r="B131" s="57"/>
      <c r="C131" s="57"/>
      <c r="D131" s="57"/>
      <c r="E131" s="57"/>
      <c r="F131" s="57"/>
      <c r="G131" s="13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</row>
    <row r="132" ht="22.5" customHeight="1" spans="1:90">
      <c r="A132" s="11"/>
      <c r="B132" s="15" t="s">
        <v>52</v>
      </c>
      <c r="C132" s="15"/>
      <c r="D132" s="15"/>
      <c r="E132" s="15"/>
      <c r="F132" s="15"/>
      <c r="G132" s="13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</row>
    <row r="133" ht="22.5" customHeight="1" spans="1:90">
      <c r="A133" s="11" t="s">
        <v>302</v>
      </c>
      <c r="B133" s="13"/>
      <c r="C133" s="13"/>
      <c r="D133" s="13"/>
      <c r="E133" s="13"/>
      <c r="F133" s="13"/>
      <c r="G133" s="13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</row>
    <row r="134" ht="22.5" customHeight="1" spans="1:90">
      <c r="A134" s="11" t="s">
        <v>303</v>
      </c>
      <c r="B134" s="17">
        <v>5367816</v>
      </c>
      <c r="C134" s="25">
        <v>1884723</v>
      </c>
      <c r="D134" s="25">
        <v>0</v>
      </c>
      <c r="E134" s="25">
        <v>0</v>
      </c>
      <c r="F134" s="18">
        <v>7252539</v>
      </c>
      <c r="G134" s="13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</row>
    <row r="135" ht="22.5" customHeight="1" spans="1:90">
      <c r="A135" s="11" t="s">
        <v>304</v>
      </c>
      <c r="B135" s="21"/>
      <c r="C135" s="13"/>
      <c r="D135" s="13"/>
      <c r="E135" s="13"/>
      <c r="F135" s="22"/>
      <c r="G135" s="13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</row>
    <row r="136" ht="22.5" customHeight="1" spans="1:90">
      <c r="A136" s="11" t="s">
        <v>305</v>
      </c>
      <c r="B136" s="21">
        <v>-3021438</v>
      </c>
      <c r="C136" s="13"/>
      <c r="D136" s="13">
        <v>-41813574</v>
      </c>
      <c r="E136" s="13">
        <v>-392454</v>
      </c>
      <c r="F136" s="22">
        <v>-45227466</v>
      </c>
      <c r="G136" s="13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</row>
    <row r="137" ht="22.5" customHeight="1" spans="1:90">
      <c r="A137" s="11" t="s">
        <v>306</v>
      </c>
      <c r="B137" s="21">
        <v>1111293</v>
      </c>
      <c r="C137" s="13">
        <v>-124041</v>
      </c>
      <c r="D137" s="13"/>
      <c r="E137" s="13">
        <v>-982643</v>
      </c>
      <c r="F137" s="22">
        <v>4609</v>
      </c>
      <c r="G137" s="13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</row>
    <row r="138" ht="22.5" customHeight="1" spans="1:90">
      <c r="A138" s="58" t="s">
        <v>307</v>
      </c>
      <c r="B138" s="21">
        <v>-847823</v>
      </c>
      <c r="C138" s="13">
        <v>-11267</v>
      </c>
      <c r="D138" s="13">
        <v>-4537102</v>
      </c>
      <c r="E138" s="13">
        <v>0</v>
      </c>
      <c r="F138" s="22">
        <v>-5396192</v>
      </c>
      <c r="G138" s="13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41"/>
      <c r="CF138" s="41"/>
      <c r="CG138" s="41"/>
      <c r="CH138" s="41"/>
      <c r="CI138" s="41"/>
      <c r="CJ138" s="41"/>
      <c r="CK138" s="41"/>
      <c r="CL138" s="41"/>
    </row>
    <row r="139" ht="22.5" customHeight="1" spans="1:90">
      <c r="A139" s="11" t="s">
        <v>308</v>
      </c>
      <c r="B139" s="21">
        <v>4406522</v>
      </c>
      <c r="C139" s="13">
        <v>2231923</v>
      </c>
      <c r="D139" s="13">
        <v>0</v>
      </c>
      <c r="E139" s="13">
        <v>0</v>
      </c>
      <c r="F139" s="22">
        <v>6638445</v>
      </c>
      <c r="G139" s="13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</row>
    <row r="140" ht="22.5" customHeight="1" spans="1:90">
      <c r="A140" s="36" t="s">
        <v>309</v>
      </c>
      <c r="B140" s="19">
        <v>20822</v>
      </c>
      <c r="C140" s="34">
        <v>310146</v>
      </c>
      <c r="D140" s="34">
        <v>-376066</v>
      </c>
      <c r="E140" s="34">
        <v>0</v>
      </c>
      <c r="F140" s="20">
        <v>-45098</v>
      </c>
      <c r="G140" s="13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</row>
    <row r="141" ht="22.5" customHeight="1" spans="1:90">
      <c r="A141" s="36"/>
      <c r="B141" s="13">
        <f>SUM(B134:B140)</f>
        <v>7037192</v>
      </c>
      <c r="C141" s="13">
        <f>SUM(C134:C140)</f>
        <v>4291484</v>
      </c>
      <c r="D141" s="13">
        <f>SUM(D134:D140)</f>
        <v>-46726742</v>
      </c>
      <c r="E141" s="13">
        <f>SUM(E134:E140)</f>
        <v>-1375097</v>
      </c>
      <c r="F141" s="13">
        <f>SUM(F134:F140)</f>
        <v>-36773163</v>
      </c>
      <c r="G141" s="13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</row>
    <row r="142" ht="22.5" customHeight="1" spans="1:90">
      <c r="A142" s="11" t="s">
        <v>310</v>
      </c>
      <c r="B142" s="13"/>
      <c r="C142" s="13"/>
      <c r="D142" s="13"/>
      <c r="E142" s="13"/>
      <c r="F142" s="13"/>
      <c r="G142" s="13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</row>
    <row r="143" ht="22.5" customHeight="1" spans="1:90">
      <c r="A143" s="11" t="s">
        <v>311</v>
      </c>
      <c r="B143" s="17">
        <v>-3340734</v>
      </c>
      <c r="C143" s="25">
        <v>77788</v>
      </c>
      <c r="D143" s="25">
        <v>344626</v>
      </c>
      <c r="E143" s="25">
        <v>1698350</v>
      </c>
      <c r="F143" s="18">
        <v>-1219970</v>
      </c>
      <c r="G143" s="13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</row>
    <row r="144" ht="22.5" customHeight="1" spans="1:90">
      <c r="A144" s="11" t="s">
        <v>312</v>
      </c>
      <c r="B144" s="21"/>
      <c r="C144" s="13"/>
      <c r="D144" s="13"/>
      <c r="E144" s="13"/>
      <c r="F144" s="22"/>
      <c r="G144" s="13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</row>
    <row r="145" ht="22.5" customHeight="1" spans="1:90">
      <c r="A145" s="11" t="s">
        <v>313</v>
      </c>
      <c r="B145" s="21">
        <v>-218473</v>
      </c>
      <c r="C145" s="13">
        <v>-104365</v>
      </c>
      <c r="D145" s="13">
        <v>0</v>
      </c>
      <c r="E145" s="13">
        <v>0</v>
      </c>
      <c r="F145" s="22">
        <v>-322838</v>
      </c>
      <c r="G145" s="13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</row>
    <row r="146" ht="22.5" customHeight="1" spans="1:90">
      <c r="A146" s="11" t="s">
        <v>314</v>
      </c>
      <c r="B146" s="21">
        <v>-817819</v>
      </c>
      <c r="C146" s="13">
        <v>-63842</v>
      </c>
      <c r="D146" s="13">
        <v>0</v>
      </c>
      <c r="E146" s="13">
        <v>-113631</v>
      </c>
      <c r="F146" s="22">
        <v>-995292</v>
      </c>
      <c r="G146" s="13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</row>
    <row r="147" ht="22.5" customHeight="1" spans="1:90">
      <c r="A147" s="36" t="s">
        <v>309</v>
      </c>
      <c r="B147" s="19">
        <v>-50921</v>
      </c>
      <c r="C147" s="34">
        <v>50921</v>
      </c>
      <c r="D147" s="34">
        <v>0</v>
      </c>
      <c r="E147" s="34">
        <v>0</v>
      </c>
      <c r="F147" s="20">
        <v>0</v>
      </c>
      <c r="G147" s="13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  <c r="CL147" s="41"/>
    </row>
    <row r="148" ht="22.5" customHeight="1" spans="1:90">
      <c r="A148" s="11"/>
      <c r="B148" s="13">
        <f>SUM(B143:B147)</f>
        <v>-4427947</v>
      </c>
      <c r="C148" s="13">
        <f>SUM(C143:C147)</f>
        <v>-39498</v>
      </c>
      <c r="D148" s="13">
        <f>SUM(D143:D147)</f>
        <v>344626</v>
      </c>
      <c r="E148" s="13">
        <f>SUM(E143:E147)</f>
        <v>1584719</v>
      </c>
      <c r="F148" s="13">
        <f>SUM(F143:F147)</f>
        <v>-2538100</v>
      </c>
      <c r="G148" s="13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</row>
    <row r="149" ht="22.5" customHeight="1" spans="1:90">
      <c r="A149" s="23"/>
      <c r="B149" s="24"/>
      <c r="C149" s="24"/>
      <c r="D149" s="24"/>
      <c r="E149" s="24"/>
      <c r="F149" s="24"/>
      <c r="G149" s="24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</row>
    <row r="150" ht="22.5" customHeight="1" spans="1:90">
      <c r="A150" s="11"/>
      <c r="B150" s="26">
        <f>B141+B148</f>
        <v>2609245</v>
      </c>
      <c r="C150" s="26">
        <f>C141+C148</f>
        <v>4251986</v>
      </c>
      <c r="D150" s="26">
        <f>D141+D148</f>
        <v>-46382116</v>
      </c>
      <c r="E150" s="26">
        <f>E141+E148</f>
        <v>209622</v>
      </c>
      <c r="F150" s="26">
        <f>F141+F148</f>
        <v>-39311263</v>
      </c>
      <c r="G150" s="13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  <c r="CL150" s="41"/>
    </row>
    <row r="151" ht="22.5" customHeight="1" spans="1:90">
      <c r="A151" s="23"/>
      <c r="B151" s="24"/>
      <c r="C151" s="24"/>
      <c r="D151" s="24"/>
      <c r="E151" s="24"/>
      <c r="F151" s="24"/>
      <c r="G151" s="24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</row>
    <row r="152" ht="22.5" customHeight="1" spans="1:90">
      <c r="A152" s="16" t="s">
        <v>315</v>
      </c>
      <c r="B152" s="13"/>
      <c r="C152" s="13"/>
      <c r="D152" s="13"/>
      <c r="E152" s="13"/>
      <c r="F152" s="13"/>
      <c r="G152" s="13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</row>
    <row r="153" ht="22.5" customHeight="1" spans="1:90">
      <c r="A153" s="59" t="s">
        <v>316</v>
      </c>
      <c r="B153" s="13"/>
      <c r="C153" s="13"/>
      <c r="D153" s="13"/>
      <c r="E153" s="13"/>
      <c r="F153" s="13"/>
      <c r="G153" s="13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  <c r="CL153" s="41"/>
    </row>
    <row r="154" ht="22.5" customHeight="1" spans="1:90">
      <c r="A154" s="42"/>
      <c r="B154" s="60">
        <v>2024</v>
      </c>
      <c r="C154" s="60">
        <v>2023</v>
      </c>
      <c r="D154" s="13"/>
      <c r="E154" s="13"/>
      <c r="F154" s="13"/>
      <c r="G154" s="13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G154" s="41"/>
      <c r="CH154" s="41"/>
      <c r="CI154" s="41"/>
      <c r="CJ154" s="41"/>
      <c r="CK154" s="41"/>
      <c r="CL154" s="41"/>
    </row>
    <row r="155" ht="22.5" customHeight="1" spans="1:90">
      <c r="A155" s="42"/>
      <c r="B155" s="45" t="s">
        <v>52</v>
      </c>
      <c r="C155" s="61"/>
      <c r="D155" s="13"/>
      <c r="E155" s="13"/>
      <c r="F155" s="13"/>
      <c r="G155" s="13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41"/>
      <c r="CF155" s="41"/>
      <c r="CG155" s="41"/>
      <c r="CH155" s="41"/>
      <c r="CI155" s="41"/>
      <c r="CJ155" s="41"/>
      <c r="CK155" s="41"/>
      <c r="CL155" s="41"/>
    </row>
    <row r="156" ht="22.5" customHeight="1" spans="1:90">
      <c r="A156" s="42" t="s">
        <v>317</v>
      </c>
      <c r="B156" s="47">
        <v>161331956</v>
      </c>
      <c r="C156" s="48">
        <v>121606613</v>
      </c>
      <c r="D156" s="13"/>
      <c r="E156" s="13"/>
      <c r="F156" s="13"/>
      <c r="G156" s="13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</row>
    <row r="157" ht="22.5" customHeight="1" spans="1:90">
      <c r="A157" s="42" t="s">
        <v>318</v>
      </c>
      <c r="B157" s="47">
        <v>3617197</v>
      </c>
      <c r="C157" s="48">
        <v>3056696</v>
      </c>
      <c r="D157" s="13"/>
      <c r="E157" s="13"/>
      <c r="F157" s="13"/>
      <c r="G157" s="13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</row>
    <row r="158" ht="22.5" customHeight="1" spans="1:90">
      <c r="A158" s="42" t="s">
        <v>319</v>
      </c>
      <c r="B158" s="47">
        <v>1852379</v>
      </c>
      <c r="C158" s="48">
        <v>0</v>
      </c>
      <c r="D158" s="13"/>
      <c r="E158" s="13"/>
      <c r="F158" s="13"/>
      <c r="G158" s="13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</row>
    <row r="159" ht="22.5" customHeight="1" spans="1:90">
      <c r="A159" s="42" t="s">
        <v>320</v>
      </c>
      <c r="B159" s="47">
        <v>13055061</v>
      </c>
      <c r="C159" s="48">
        <v>4730609</v>
      </c>
      <c r="D159" s="13"/>
      <c r="E159" s="13"/>
      <c r="F159" s="13"/>
      <c r="G159" s="13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</row>
    <row r="160" ht="39" customHeight="1" spans="1:90">
      <c r="A160" s="42" t="s">
        <v>321</v>
      </c>
      <c r="B160" s="47">
        <v>2097214</v>
      </c>
      <c r="C160" s="48">
        <v>38339</v>
      </c>
      <c r="D160" s="13"/>
      <c r="E160" s="13"/>
      <c r="F160" s="13"/>
      <c r="G160" s="13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</row>
    <row r="161" ht="22.5" customHeight="1" spans="1:90">
      <c r="A161" s="42" t="s">
        <v>322</v>
      </c>
      <c r="B161" s="47">
        <v>1102125</v>
      </c>
      <c r="C161" s="48">
        <v>4461256</v>
      </c>
      <c r="D161" s="13"/>
      <c r="E161" s="13"/>
      <c r="F161" s="13"/>
      <c r="G161" s="13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</row>
    <row r="162" ht="22.5" customHeight="1" spans="1:90">
      <c r="A162" s="42" t="s">
        <v>323</v>
      </c>
      <c r="B162" s="47">
        <v>9500919</v>
      </c>
      <c r="C162" s="48">
        <v>1868330</v>
      </c>
      <c r="D162" s="13"/>
      <c r="E162" s="13"/>
      <c r="F162" s="13"/>
      <c r="G162" s="13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  <c r="CL162" s="41"/>
    </row>
    <row r="163" ht="22.5" customHeight="1" spans="1:90">
      <c r="A163" s="42" t="s">
        <v>324</v>
      </c>
      <c r="B163" s="47">
        <v>1262202</v>
      </c>
      <c r="C163" s="48">
        <v>32379</v>
      </c>
      <c r="D163" s="13"/>
      <c r="E163" s="13"/>
      <c r="F163" s="13"/>
      <c r="G163" s="13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</row>
    <row r="164" ht="22.5" customHeight="1" spans="1:90">
      <c r="A164" s="42" t="s">
        <v>325</v>
      </c>
      <c r="B164" s="47">
        <v>51321</v>
      </c>
      <c r="C164" s="48">
        <v>0</v>
      </c>
      <c r="D164" s="13"/>
      <c r="E164" s="13"/>
      <c r="F164" s="13"/>
      <c r="G164" s="13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</row>
    <row r="165" ht="22.5" customHeight="1" spans="1:90">
      <c r="A165" s="42" t="s">
        <v>326</v>
      </c>
      <c r="B165" s="47">
        <v>599150</v>
      </c>
      <c r="C165" s="48">
        <v>593636</v>
      </c>
      <c r="D165" s="13"/>
      <c r="E165" s="13"/>
      <c r="F165" s="13"/>
      <c r="G165" s="13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  <c r="CL165" s="41"/>
    </row>
    <row r="166" ht="22.5" customHeight="1" spans="1:90">
      <c r="A166" s="42" t="s">
        <v>327</v>
      </c>
      <c r="B166" s="47">
        <v>39688</v>
      </c>
      <c r="C166" s="48">
        <v>42075</v>
      </c>
      <c r="D166" s="13"/>
      <c r="E166" s="13"/>
      <c r="F166" s="13"/>
      <c r="G166" s="13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</row>
    <row r="167" ht="22.5" customHeight="1" spans="1:90">
      <c r="A167" s="42" t="s">
        <v>328</v>
      </c>
      <c r="B167" s="47">
        <v>14164144</v>
      </c>
      <c r="C167" s="48">
        <v>3143717</v>
      </c>
      <c r="D167" s="13"/>
      <c r="E167" s="13"/>
      <c r="F167" s="13"/>
      <c r="G167" s="13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</row>
    <row r="168" ht="22.5" customHeight="1" spans="1:90">
      <c r="A168" s="42" t="s">
        <v>329</v>
      </c>
      <c r="B168" s="47">
        <v>38205805</v>
      </c>
      <c r="C168" s="48">
        <v>17584022</v>
      </c>
      <c r="D168" s="13"/>
      <c r="E168" s="13"/>
      <c r="F168" s="13"/>
      <c r="G168" s="13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</row>
    <row r="169" ht="39" customHeight="1" spans="1:90">
      <c r="A169" s="42" t="s">
        <v>330</v>
      </c>
      <c r="B169" s="47">
        <v>719773</v>
      </c>
      <c r="C169" s="48">
        <v>688884</v>
      </c>
      <c r="D169" s="13"/>
      <c r="E169" s="13"/>
      <c r="F169" s="13"/>
      <c r="G169" s="13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</row>
    <row r="170" ht="22.5" customHeight="1" spans="1:90">
      <c r="A170" s="42" t="s">
        <v>331</v>
      </c>
      <c r="B170" s="47">
        <v>463765</v>
      </c>
      <c r="C170" s="48">
        <v>475390</v>
      </c>
      <c r="D170" s="13"/>
      <c r="E170" s="13"/>
      <c r="F170" s="13"/>
      <c r="G170" s="13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</row>
    <row r="171" ht="22.5" customHeight="1" spans="1:90">
      <c r="A171" s="42" t="s">
        <v>279</v>
      </c>
      <c r="B171" s="47">
        <v>1430573</v>
      </c>
      <c r="C171" s="48">
        <v>1985592</v>
      </c>
      <c r="D171" s="13"/>
      <c r="E171" s="13"/>
      <c r="F171" s="13"/>
      <c r="G171" s="13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</row>
    <row r="172" ht="22.5" customHeight="1" spans="1:90">
      <c r="A172" s="42"/>
      <c r="B172" s="49">
        <f>SUM(B156:B171)</f>
        <v>249493272</v>
      </c>
      <c r="C172" s="49">
        <f>SUM(C156:C171)</f>
        <v>160307538</v>
      </c>
      <c r="D172" s="13"/>
      <c r="E172" s="13"/>
      <c r="F172" s="13"/>
      <c r="G172" s="13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</row>
    <row r="173" ht="39" customHeight="1" spans="1:90">
      <c r="A173" s="42" t="s">
        <v>332</v>
      </c>
      <c r="B173" s="47">
        <v>-1558408</v>
      </c>
      <c r="C173" s="48">
        <v>-1150885</v>
      </c>
      <c r="D173" s="13"/>
      <c r="E173" s="13"/>
      <c r="F173" s="13"/>
      <c r="G173" s="13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  <c r="CL173" s="41"/>
    </row>
    <row r="174" ht="22.5" customHeight="1" spans="1:90">
      <c r="A174" s="42" t="s">
        <v>333</v>
      </c>
      <c r="B174" s="49">
        <v>247934864</v>
      </c>
      <c r="C174" s="62">
        <v>159156653</v>
      </c>
      <c r="D174" s="13"/>
      <c r="E174" s="13"/>
      <c r="F174" s="13"/>
      <c r="G174" s="13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</row>
    <row r="175" ht="22.5" customHeight="1" spans="1:90">
      <c r="A175" s="42" t="s">
        <v>334</v>
      </c>
      <c r="B175" s="47"/>
      <c r="C175" s="48"/>
      <c r="D175" s="13"/>
      <c r="E175" s="13"/>
      <c r="F175" s="13"/>
      <c r="G175" s="13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</row>
    <row r="176" ht="22.5" customHeight="1" spans="1:90">
      <c r="A176" s="42" t="s">
        <v>335</v>
      </c>
      <c r="B176" s="47">
        <v>2387</v>
      </c>
      <c r="C176" s="48">
        <v>0</v>
      </c>
      <c r="D176" s="13"/>
      <c r="E176" s="13"/>
      <c r="F176" s="13"/>
      <c r="G176" s="13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</row>
    <row r="177" ht="22.5" customHeight="1" spans="1:90">
      <c r="A177" s="52" t="s">
        <v>336</v>
      </c>
      <c r="B177" s="55">
        <f>B174+B176</f>
        <v>247937251</v>
      </c>
      <c r="C177" s="55">
        <f>C174+C176</f>
        <v>159156653</v>
      </c>
      <c r="D177" s="13"/>
      <c r="E177" s="13"/>
      <c r="F177" s="13"/>
      <c r="G177" s="13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  <c r="CL177" s="41"/>
    </row>
    <row r="178" ht="22.5" customHeight="1" spans="1:90">
      <c r="A178" s="23"/>
      <c r="B178" s="24"/>
      <c r="C178" s="24"/>
      <c r="D178" s="24"/>
      <c r="E178" s="24"/>
      <c r="F178" s="24"/>
      <c r="G178" s="24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  <c r="CL178" s="41"/>
    </row>
    <row r="179" ht="22.5" customHeight="1" spans="1:90">
      <c r="A179" s="16" t="s">
        <v>337</v>
      </c>
      <c r="B179" s="13"/>
      <c r="C179" s="13"/>
      <c r="D179" s="13"/>
      <c r="E179" s="13"/>
      <c r="F179" s="13"/>
      <c r="G179" s="13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  <c r="CL179" s="41"/>
    </row>
    <row r="180" ht="22.5" customHeight="1" spans="1:90">
      <c r="A180" s="16" t="s">
        <v>338</v>
      </c>
      <c r="B180" s="12">
        <v>2024</v>
      </c>
      <c r="C180" s="12">
        <v>2023</v>
      </c>
      <c r="D180" s="13"/>
      <c r="E180" s="13"/>
      <c r="F180" s="13"/>
      <c r="G180" s="13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</row>
    <row r="181" ht="22.5" customHeight="1" spans="1:90">
      <c r="A181" s="11"/>
      <c r="B181" s="15" t="s">
        <v>52</v>
      </c>
      <c r="C181" s="15"/>
      <c r="D181" s="13"/>
      <c r="E181" s="13"/>
      <c r="F181" s="13"/>
      <c r="G181" s="13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</row>
    <row r="182" ht="22.5" customHeight="1" spans="1:90">
      <c r="A182" s="11" t="s">
        <v>240</v>
      </c>
      <c r="B182" s="13">
        <v>42994426</v>
      </c>
      <c r="C182" s="13">
        <v>19850218</v>
      </c>
      <c r="D182" s="13"/>
      <c r="E182" s="13"/>
      <c r="F182" s="13"/>
      <c r="G182" s="13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</row>
    <row r="183" ht="22.5" customHeight="1" spans="1:90">
      <c r="A183" s="11" t="s">
        <v>243</v>
      </c>
      <c r="B183" s="13">
        <v>1227392</v>
      </c>
      <c r="C183" s="13">
        <v>1884313</v>
      </c>
      <c r="D183" s="13"/>
      <c r="E183" s="13"/>
      <c r="F183" s="13"/>
      <c r="G183" s="13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</row>
    <row r="184" ht="22.5" customHeight="1" spans="1:90">
      <c r="A184" s="11"/>
      <c r="B184" s="26">
        <f>SUM(B182:B183)</f>
        <v>44221818</v>
      </c>
      <c r="C184" s="26">
        <f>SUM(C182:C183)</f>
        <v>21734531</v>
      </c>
      <c r="D184" s="13"/>
      <c r="E184" s="13"/>
      <c r="F184" s="13"/>
      <c r="G184" s="13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  <c r="CL184" s="41"/>
    </row>
    <row r="185" ht="22.5" customHeight="1" spans="1:90">
      <c r="A185" s="23"/>
      <c r="B185" s="24"/>
      <c r="C185" s="24"/>
      <c r="D185" s="24"/>
      <c r="E185" s="24"/>
      <c r="F185" s="24"/>
      <c r="G185" s="24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</row>
    <row r="186" ht="22.5" customHeight="1" spans="1:90">
      <c r="A186" s="16" t="s">
        <v>339</v>
      </c>
      <c r="B186" s="13"/>
      <c r="C186" s="13"/>
      <c r="D186" s="13"/>
      <c r="E186" s="13"/>
      <c r="F186" s="13"/>
      <c r="G186" s="13"/>
      <c r="I186" s="29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</row>
    <row r="187" ht="22.5" customHeight="1" spans="1:90">
      <c r="A187" s="63" t="s">
        <v>340</v>
      </c>
      <c r="B187" s="12">
        <v>2024</v>
      </c>
      <c r="C187" s="12">
        <v>2023</v>
      </c>
      <c r="D187" s="13"/>
      <c r="E187" s="13"/>
      <c r="F187" s="13"/>
      <c r="G187" s="13"/>
      <c r="I187" s="29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</row>
    <row r="188" ht="22.5" customHeight="1" spans="1:90">
      <c r="A188" s="31"/>
      <c r="B188" s="15" t="s">
        <v>52</v>
      </c>
      <c r="C188" s="15"/>
      <c r="D188" s="24"/>
      <c r="E188" s="24"/>
      <c r="F188" s="24"/>
      <c r="G188" s="24"/>
      <c r="I188" s="29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</row>
    <row r="189" ht="22.5" customHeight="1" spans="1:90">
      <c r="A189" s="30" t="s">
        <v>341</v>
      </c>
      <c r="B189" s="13"/>
      <c r="C189" s="13"/>
      <c r="D189" s="13"/>
      <c r="E189" s="13"/>
      <c r="F189" s="13"/>
      <c r="G189" s="13"/>
      <c r="I189" s="29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  <c r="CL189" s="41"/>
    </row>
    <row r="190" ht="22.5" customHeight="1" spans="1:90">
      <c r="A190" s="30" t="s">
        <v>342</v>
      </c>
      <c r="B190" s="17">
        <v>31367936</v>
      </c>
      <c r="C190" s="18">
        <v>37076201</v>
      </c>
      <c r="D190" s="13"/>
      <c r="E190" s="13"/>
      <c r="F190" s="13"/>
      <c r="G190" s="13"/>
      <c r="I190" s="29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</row>
    <row r="191" ht="22.5" customHeight="1" spans="1:90">
      <c r="A191" s="30" t="s">
        <v>343</v>
      </c>
      <c r="B191" s="21">
        <v>2119689</v>
      </c>
      <c r="C191" s="22">
        <v>1353958</v>
      </c>
      <c r="D191" s="13"/>
      <c r="E191" s="13"/>
      <c r="F191" s="13"/>
      <c r="G191" s="13"/>
      <c r="I191" s="29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</row>
    <row r="192" ht="22.5" customHeight="1" spans="1:90">
      <c r="A192" s="30" t="s">
        <v>343</v>
      </c>
      <c r="B192" s="21">
        <v>10373465</v>
      </c>
      <c r="C192" s="22">
        <v>13991026</v>
      </c>
      <c r="D192" s="13"/>
      <c r="E192" s="13"/>
      <c r="F192" s="13"/>
      <c r="G192" s="13"/>
      <c r="I192" s="29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</row>
    <row r="193" ht="22.5" customHeight="1" spans="1:90">
      <c r="A193" s="30" t="s">
        <v>344</v>
      </c>
      <c r="B193" s="21">
        <v>1339755</v>
      </c>
      <c r="C193" s="22">
        <v>873755</v>
      </c>
      <c r="D193" s="13"/>
      <c r="E193" s="13"/>
      <c r="F193" s="13"/>
      <c r="G193" s="13"/>
      <c r="I193" s="29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</row>
    <row r="194" ht="22.5" customHeight="1" spans="1:90">
      <c r="A194" s="30" t="s">
        <v>345</v>
      </c>
      <c r="B194" s="21">
        <v>15009764</v>
      </c>
      <c r="C194" s="22">
        <v>16886679</v>
      </c>
      <c r="D194" s="13"/>
      <c r="E194" s="13"/>
      <c r="F194" s="13"/>
      <c r="G194" s="13"/>
      <c r="I194" s="29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</row>
    <row r="195" ht="22.5" customHeight="1" spans="1:90">
      <c r="A195" s="30" t="s">
        <v>346</v>
      </c>
      <c r="B195" s="21">
        <v>110693</v>
      </c>
      <c r="C195" s="22">
        <v>332674</v>
      </c>
      <c r="D195" s="13"/>
      <c r="E195" s="13"/>
      <c r="F195" s="13"/>
      <c r="G195" s="13"/>
      <c r="I195" s="29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</row>
    <row r="196" ht="22.5" customHeight="1" spans="1:90">
      <c r="A196" s="30" t="s">
        <v>347</v>
      </c>
      <c r="B196" s="21">
        <v>45295</v>
      </c>
      <c r="C196" s="22">
        <v>61200</v>
      </c>
      <c r="D196" s="13"/>
      <c r="E196" s="13"/>
      <c r="F196" s="13"/>
      <c r="G196" s="13"/>
      <c r="I196" s="29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</row>
    <row r="197" ht="22.5" customHeight="1" spans="1:90">
      <c r="A197" s="30" t="s">
        <v>348</v>
      </c>
      <c r="B197" s="21">
        <v>20625</v>
      </c>
      <c r="C197" s="22">
        <v>34375</v>
      </c>
      <c r="D197" s="13"/>
      <c r="E197" s="13"/>
      <c r="F197" s="13"/>
      <c r="G197" s="13"/>
      <c r="I197" s="29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</row>
    <row r="198" ht="22.5" customHeight="1" spans="1:90">
      <c r="A198" s="30" t="s">
        <v>349</v>
      </c>
      <c r="B198" s="19">
        <v>4532326857</v>
      </c>
      <c r="C198" s="20">
        <v>2717697641</v>
      </c>
      <c r="D198" s="13"/>
      <c r="E198" s="13"/>
      <c r="F198" s="13"/>
      <c r="G198" s="13"/>
      <c r="I198" s="29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</row>
    <row r="199" ht="22.5" customHeight="1" spans="1:90">
      <c r="A199" s="11"/>
      <c r="B199" s="34">
        <f>SUM(B190:B198)</f>
        <v>4592714079</v>
      </c>
      <c r="C199" s="34">
        <f>SUM(C190:C198)</f>
        <v>2788307509</v>
      </c>
      <c r="D199" s="13"/>
      <c r="E199" s="13"/>
      <c r="F199" s="13"/>
      <c r="G199" s="13"/>
      <c r="I199" s="29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</row>
    <row r="200" ht="22.5" customHeight="1" spans="1:90">
      <c r="A200" s="30" t="s">
        <v>350</v>
      </c>
      <c r="B200" s="13">
        <v>157965709</v>
      </c>
      <c r="C200" s="13">
        <v>22881729</v>
      </c>
      <c r="D200" s="13"/>
      <c r="E200" s="13"/>
      <c r="F200" s="13"/>
      <c r="G200" s="13"/>
      <c r="I200" s="29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</row>
    <row r="201" ht="22.5" customHeight="1" spans="1:90">
      <c r="A201" s="30" t="s">
        <v>351</v>
      </c>
      <c r="B201" s="13">
        <v>0</v>
      </c>
      <c r="C201" s="13">
        <v>1498925</v>
      </c>
      <c r="D201" s="13"/>
      <c r="E201" s="13"/>
      <c r="F201" s="13"/>
      <c r="G201" s="13"/>
      <c r="I201" s="29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</row>
    <row r="202" ht="22.5" customHeight="1" spans="1:90">
      <c r="A202" s="11"/>
      <c r="B202" s="13">
        <f>B199+B200+B201</f>
        <v>4750679788</v>
      </c>
      <c r="C202" s="13">
        <f>C199+C200+C201</f>
        <v>2812688163</v>
      </c>
      <c r="D202" s="13"/>
      <c r="E202" s="13"/>
      <c r="F202" s="13"/>
      <c r="G202" s="13"/>
      <c r="I202" s="29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</row>
    <row r="203" ht="22.5" customHeight="1" spans="1:90">
      <c r="A203" s="11" t="s">
        <v>352</v>
      </c>
      <c r="B203" s="13"/>
      <c r="C203" s="13"/>
      <c r="D203" s="13"/>
      <c r="E203" s="13"/>
      <c r="F203" s="13"/>
      <c r="G203" s="13"/>
      <c r="I203" s="29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</row>
    <row r="204" ht="22.5" customHeight="1" spans="1:90">
      <c r="A204" s="30" t="s">
        <v>353</v>
      </c>
      <c r="B204" s="13">
        <v>103908861</v>
      </c>
      <c r="C204" s="13">
        <v>10603000</v>
      </c>
      <c r="D204" s="13"/>
      <c r="E204" s="13"/>
      <c r="F204" s="13"/>
      <c r="G204" s="13"/>
      <c r="I204" s="29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</row>
    <row r="205" ht="22.5" customHeight="1" spans="1:90">
      <c r="A205" s="30" t="s">
        <v>354</v>
      </c>
      <c r="B205" s="13">
        <v>784867</v>
      </c>
      <c r="C205" s="13">
        <v>596751</v>
      </c>
      <c r="D205" s="13"/>
      <c r="E205" s="13"/>
      <c r="F205" s="13"/>
      <c r="G205" s="13"/>
      <c r="I205" s="29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</row>
    <row r="206" ht="22.5" customHeight="1" spans="1:90">
      <c r="A206" s="11"/>
      <c r="B206" s="25">
        <f>B205+B204</f>
        <v>104693728</v>
      </c>
      <c r="C206" s="25">
        <f>C205+C204</f>
        <v>11199751</v>
      </c>
      <c r="D206" s="13"/>
      <c r="E206" s="13"/>
      <c r="F206" s="13"/>
      <c r="G206" s="13"/>
      <c r="I206" s="29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</row>
    <row r="207" ht="22.5" customHeight="1" spans="1:90">
      <c r="A207" s="11"/>
      <c r="B207" s="26">
        <f>B202+B206</f>
        <v>4855373516</v>
      </c>
      <c r="C207" s="26">
        <f>C202+C206</f>
        <v>2823887914</v>
      </c>
      <c r="D207" s="13"/>
      <c r="E207" s="13"/>
      <c r="F207" s="13"/>
      <c r="G207" s="13"/>
      <c r="I207" s="29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</row>
    <row r="208" ht="22.5" customHeight="1" spans="1:90">
      <c r="A208" s="23"/>
      <c r="B208" s="24"/>
      <c r="C208" s="24"/>
      <c r="D208" s="24"/>
      <c r="E208" s="24"/>
      <c r="F208" s="24"/>
      <c r="G208" s="24"/>
      <c r="I208" s="29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</row>
    <row r="209" ht="22.5" customHeight="1" spans="1:90">
      <c r="A209" s="16" t="s">
        <v>355</v>
      </c>
      <c r="B209" s="13"/>
      <c r="C209" s="13"/>
      <c r="D209" s="13"/>
      <c r="E209" s="13"/>
      <c r="F209" s="13"/>
      <c r="G209" s="13"/>
      <c r="I209" s="29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</row>
    <row r="210" ht="39" customHeight="1" spans="1:90">
      <c r="A210" s="16" t="s">
        <v>356</v>
      </c>
      <c r="B210" s="12">
        <v>2024</v>
      </c>
      <c r="C210" s="12"/>
      <c r="D210" s="12"/>
      <c r="E210" s="12">
        <v>2023</v>
      </c>
      <c r="F210" s="12"/>
      <c r="G210" s="12"/>
      <c r="I210" s="29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</row>
    <row r="211" ht="22.5" customHeight="1" spans="1:90">
      <c r="A211" s="11"/>
      <c r="B211" s="13"/>
      <c r="C211" s="13"/>
      <c r="D211" s="15" t="s">
        <v>52</v>
      </c>
      <c r="E211" s="15"/>
      <c r="F211" s="13"/>
      <c r="G211" s="13"/>
      <c r="I211" s="29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</row>
    <row r="212" ht="22.5" customHeight="1" spans="1:90">
      <c r="A212" s="11"/>
      <c r="B212" s="15" t="s">
        <v>357</v>
      </c>
      <c r="C212" s="15" t="s">
        <v>358</v>
      </c>
      <c r="D212" s="15" t="s">
        <v>138</v>
      </c>
      <c r="E212" s="15" t="s">
        <v>357</v>
      </c>
      <c r="F212" s="15" t="s">
        <v>358</v>
      </c>
      <c r="G212" s="15" t="s">
        <v>138</v>
      </c>
      <c r="I212" s="29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</row>
    <row r="213" ht="22.5" customHeight="1" spans="1:90">
      <c r="A213" s="11" t="s">
        <v>359</v>
      </c>
      <c r="B213" s="13"/>
      <c r="C213" s="13"/>
      <c r="D213" s="13"/>
      <c r="E213" s="13"/>
      <c r="F213" s="13"/>
      <c r="G213" s="13"/>
      <c r="I213" s="29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</row>
    <row r="214" ht="22.5" customHeight="1" spans="1:90">
      <c r="A214" s="11" t="s">
        <v>360</v>
      </c>
      <c r="B214" s="17">
        <v>1061667711</v>
      </c>
      <c r="C214" s="25">
        <v>438673584</v>
      </c>
      <c r="D214" s="25">
        <f>B214+C214</f>
        <v>1500341295</v>
      </c>
      <c r="E214" s="25">
        <v>838679284</v>
      </c>
      <c r="F214" s="25">
        <v>264416961</v>
      </c>
      <c r="G214" s="18">
        <f>E214+F214</f>
        <v>1103096245</v>
      </c>
      <c r="I214" s="29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</row>
    <row r="215" ht="22.5" customHeight="1" spans="1:90">
      <c r="A215" s="11" t="s">
        <v>361</v>
      </c>
      <c r="B215" s="21">
        <v>745150912</v>
      </c>
      <c r="C215" s="13">
        <v>48987572</v>
      </c>
      <c r="D215" s="13">
        <f>B215+C215</f>
        <v>794138484</v>
      </c>
      <c r="E215" s="13">
        <v>698079461</v>
      </c>
      <c r="F215" s="13">
        <v>89414155</v>
      </c>
      <c r="G215" s="22">
        <f>E215+F215</f>
        <v>787493616</v>
      </c>
      <c r="I215" s="29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</row>
    <row r="216" ht="22.5" customHeight="1" spans="1:90">
      <c r="A216" s="11" t="s">
        <v>362</v>
      </c>
      <c r="B216" s="21">
        <v>74795514</v>
      </c>
      <c r="C216" s="13">
        <v>90103254</v>
      </c>
      <c r="D216" s="13">
        <f>B216+C216</f>
        <v>164898768</v>
      </c>
      <c r="E216" s="13">
        <v>158820636</v>
      </c>
      <c r="F216" s="13">
        <v>337702171</v>
      </c>
      <c r="G216" s="64">
        <f>E216+F216</f>
        <v>496522807</v>
      </c>
      <c r="H216" s="65"/>
      <c r="I216" s="29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</row>
    <row r="217" ht="22.5" customHeight="1" spans="1:90">
      <c r="A217" s="11" t="s">
        <v>279</v>
      </c>
      <c r="B217" s="19">
        <v>50177905</v>
      </c>
      <c r="C217" s="34">
        <v>6621539</v>
      </c>
      <c r="D217" s="34">
        <f>B217+C217</f>
        <v>56799444</v>
      </c>
      <c r="E217" s="34">
        <v>22587057</v>
      </c>
      <c r="F217" s="34">
        <v>7246442</v>
      </c>
      <c r="G217" s="34">
        <f>E217+F217</f>
        <v>29833499</v>
      </c>
      <c r="H217" s="65"/>
      <c r="I217" s="29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</row>
    <row r="218" ht="22.5" customHeight="1" spans="1:90">
      <c r="A218" s="11"/>
      <c r="B218" s="13">
        <f t="shared" ref="B218:G218" si="1">SUM(B214:B217)</f>
        <v>1931792042</v>
      </c>
      <c r="C218" s="13">
        <f t="shared" si="1"/>
        <v>584385949</v>
      </c>
      <c r="D218" s="13">
        <f t="shared" si="1"/>
        <v>2516177991</v>
      </c>
      <c r="E218" s="13">
        <f t="shared" si="1"/>
        <v>1718166438</v>
      </c>
      <c r="F218" s="13">
        <f t="shared" si="1"/>
        <v>698779729</v>
      </c>
      <c r="G218" s="13">
        <f t="shared" si="1"/>
        <v>2416946167</v>
      </c>
      <c r="I218" s="29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</row>
    <row r="219" ht="22.5" customHeight="1" spans="1:90">
      <c r="A219" s="11" t="s">
        <v>363</v>
      </c>
      <c r="B219" s="13"/>
      <c r="C219" s="13"/>
      <c r="D219" s="13"/>
      <c r="E219" s="13"/>
      <c r="F219" s="13"/>
      <c r="G219" s="13"/>
      <c r="I219" s="29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</row>
    <row r="220" ht="22.5" customHeight="1" spans="1:90">
      <c r="A220" s="11" t="s">
        <v>364</v>
      </c>
      <c r="B220" s="17">
        <v>18028756</v>
      </c>
      <c r="C220" s="25">
        <v>6784813</v>
      </c>
      <c r="D220" s="25">
        <f>B220+C220</f>
        <v>24813569</v>
      </c>
      <c r="E220" s="25">
        <v>24773540</v>
      </c>
      <c r="F220" s="25">
        <v>6928345</v>
      </c>
      <c r="G220" s="18">
        <f>E220+F220</f>
        <v>31701885</v>
      </c>
      <c r="I220" s="29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</row>
    <row r="221" ht="22.5" customHeight="1" spans="1:90">
      <c r="A221" s="11" t="s">
        <v>361</v>
      </c>
      <c r="B221" s="21">
        <v>95531207</v>
      </c>
      <c r="C221" s="13">
        <v>93460</v>
      </c>
      <c r="D221" s="13">
        <f>B221+C221</f>
        <v>95624667</v>
      </c>
      <c r="E221" s="13">
        <v>173505890</v>
      </c>
      <c r="F221" s="13">
        <v>6343690</v>
      </c>
      <c r="G221" s="22">
        <f>E221+F221</f>
        <v>179849580</v>
      </c>
      <c r="I221" s="29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</row>
    <row r="222" ht="22.5" customHeight="1" spans="1:90">
      <c r="A222" s="11" t="s">
        <v>362</v>
      </c>
      <c r="B222" s="19">
        <v>131850</v>
      </c>
      <c r="C222" s="34">
        <v>3127908</v>
      </c>
      <c r="D222" s="34">
        <f>B222+C222</f>
        <v>3259758</v>
      </c>
      <c r="E222" s="34">
        <v>1925450</v>
      </c>
      <c r="F222" s="34">
        <v>4293020</v>
      </c>
      <c r="G222" s="20">
        <f>E222+F222</f>
        <v>6218470</v>
      </c>
      <c r="I222" s="29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</row>
    <row r="223" ht="22.5" customHeight="1" spans="1:90">
      <c r="A223" s="11"/>
      <c r="B223" s="13">
        <f t="shared" ref="B223:G223" si="2">SUM(B220:B222)</f>
        <v>113691813</v>
      </c>
      <c r="C223" s="13">
        <f t="shared" si="2"/>
        <v>10006181</v>
      </c>
      <c r="D223" s="13">
        <f t="shared" si="2"/>
        <v>123697994</v>
      </c>
      <c r="E223" s="13">
        <f t="shared" si="2"/>
        <v>200204880</v>
      </c>
      <c r="F223" s="13">
        <f t="shared" si="2"/>
        <v>17565055</v>
      </c>
      <c r="G223" s="13">
        <f t="shared" si="2"/>
        <v>217769935</v>
      </c>
      <c r="I223" s="29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</row>
    <row r="224" ht="22.5" customHeight="1" spans="1:90">
      <c r="A224" s="11"/>
      <c r="B224" s="26">
        <f t="shared" ref="B224:G224" si="3">B218+B223</f>
        <v>2045483855</v>
      </c>
      <c r="C224" s="26">
        <f t="shared" si="3"/>
        <v>594392130</v>
      </c>
      <c r="D224" s="26">
        <f t="shared" si="3"/>
        <v>2639875985</v>
      </c>
      <c r="E224" s="26">
        <f t="shared" si="3"/>
        <v>1918371318</v>
      </c>
      <c r="F224" s="26">
        <f t="shared" si="3"/>
        <v>716344784</v>
      </c>
      <c r="G224" s="26">
        <f t="shared" si="3"/>
        <v>2634716102</v>
      </c>
      <c r="I224" s="29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</row>
    <row r="225" ht="22.5" customHeight="1" spans="1:90">
      <c r="A225" s="23"/>
      <c r="B225" s="24"/>
      <c r="C225" s="24"/>
      <c r="D225" s="24"/>
      <c r="E225" s="24"/>
      <c r="F225" s="24"/>
      <c r="G225" s="24"/>
      <c r="I225" s="29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</row>
    <row r="226" ht="22.5" customHeight="1" spans="1:90">
      <c r="A226" s="16" t="s">
        <v>365</v>
      </c>
      <c r="B226" s="13"/>
      <c r="C226" s="13"/>
      <c r="D226" s="13"/>
      <c r="E226" s="13"/>
      <c r="F226" s="13"/>
      <c r="G226" s="13"/>
      <c r="I226" s="29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</row>
    <row r="227" ht="22.5" customHeight="1" spans="1:90">
      <c r="A227" s="16" t="s">
        <v>366</v>
      </c>
      <c r="B227" s="12">
        <v>2024</v>
      </c>
      <c r="C227" s="12">
        <v>2023</v>
      </c>
      <c r="D227" s="13"/>
      <c r="E227" s="13"/>
      <c r="F227" s="13"/>
      <c r="G227" s="13"/>
      <c r="I227" s="29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</row>
    <row r="228" ht="22.5" customHeight="1" spans="1:90">
      <c r="A228" s="11"/>
      <c r="B228" s="15" t="s">
        <v>52</v>
      </c>
      <c r="C228" s="15"/>
      <c r="D228" s="13"/>
      <c r="E228" s="13"/>
      <c r="F228" s="13"/>
      <c r="G228" s="13"/>
      <c r="I228" s="29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</row>
    <row r="229" ht="22.5" customHeight="1" spans="1:90">
      <c r="A229" s="11" t="s">
        <v>367</v>
      </c>
      <c r="B229" s="13">
        <v>10474561</v>
      </c>
      <c r="C229" s="13">
        <v>9614922</v>
      </c>
      <c r="D229" s="13"/>
      <c r="E229" s="13"/>
      <c r="F229" s="13"/>
      <c r="G229" s="13"/>
      <c r="I229" s="29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</row>
    <row r="230" ht="22.5" customHeight="1" spans="1:90">
      <c r="A230" s="11" t="s">
        <v>284</v>
      </c>
      <c r="B230" s="13">
        <v>5012628</v>
      </c>
      <c r="C230" s="13">
        <v>3307070</v>
      </c>
      <c r="D230" s="13"/>
      <c r="E230" s="13"/>
      <c r="F230" s="13"/>
      <c r="G230" s="13"/>
      <c r="I230" s="29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</row>
    <row r="231" ht="22.5" customHeight="1" spans="1:90">
      <c r="A231" s="11" t="s">
        <v>368</v>
      </c>
      <c r="B231" s="13">
        <v>-3625093</v>
      </c>
      <c r="C231" s="13">
        <v>-3282249</v>
      </c>
      <c r="D231" s="13"/>
      <c r="E231" s="13"/>
      <c r="F231" s="13"/>
      <c r="G231" s="13"/>
      <c r="I231" s="29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</row>
    <row r="232" ht="22.5" customHeight="1" spans="1:90">
      <c r="A232" s="11" t="s">
        <v>369</v>
      </c>
      <c r="B232" s="13">
        <v>1506565</v>
      </c>
      <c r="C232" s="13">
        <v>1236242</v>
      </c>
      <c r="D232" s="13"/>
      <c r="E232" s="13"/>
      <c r="F232" s="13"/>
      <c r="G232" s="13"/>
      <c r="I232" s="29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</row>
    <row r="233" ht="22.5" customHeight="1" spans="1:90">
      <c r="A233" s="11" t="s">
        <v>370</v>
      </c>
      <c r="B233" s="13">
        <v>-970038</v>
      </c>
      <c r="C233" s="13">
        <v>-409209</v>
      </c>
      <c r="D233" s="13"/>
      <c r="E233" s="13"/>
      <c r="F233" s="13"/>
      <c r="G233" s="13"/>
      <c r="I233" s="29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</row>
    <row r="234" ht="22.5" customHeight="1" spans="1:90">
      <c r="A234" s="11" t="s">
        <v>289</v>
      </c>
      <c r="B234" s="13">
        <v>-14965</v>
      </c>
      <c r="C234" s="13">
        <v>0</v>
      </c>
      <c r="D234" s="13"/>
      <c r="E234" s="13"/>
      <c r="F234" s="13"/>
      <c r="G234" s="13"/>
      <c r="I234" s="29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</row>
    <row r="235" ht="22.5" customHeight="1" spans="1:90">
      <c r="A235" s="11" t="s">
        <v>371</v>
      </c>
      <c r="B235" s="13">
        <v>-2640</v>
      </c>
      <c r="C235" s="13">
        <v>7785</v>
      </c>
      <c r="D235" s="13"/>
      <c r="E235" s="13"/>
      <c r="F235" s="13"/>
      <c r="G235" s="13"/>
      <c r="I235" s="29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</row>
    <row r="236" ht="22.5" customHeight="1" spans="1:90">
      <c r="A236" s="11" t="s">
        <v>372</v>
      </c>
      <c r="B236" s="13">
        <f>SUM(B229:B235)</f>
        <v>12381018</v>
      </c>
      <c r="C236" s="13">
        <f>SUM(C229:C235)</f>
        <v>10474561</v>
      </c>
      <c r="D236" s="13"/>
      <c r="E236" s="13"/>
      <c r="F236" s="13"/>
      <c r="G236" s="13"/>
      <c r="I236" s="29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</row>
    <row r="237" ht="22.5" customHeight="1" spans="1:90">
      <c r="A237" s="23"/>
      <c r="B237" s="24"/>
      <c r="C237" s="24"/>
      <c r="D237" s="24"/>
      <c r="E237" s="24"/>
      <c r="F237" s="24"/>
      <c r="G237" s="24"/>
      <c r="I237" s="29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</row>
    <row r="238" ht="22.5" customHeight="1" spans="1:90">
      <c r="A238" s="16" t="s">
        <v>373</v>
      </c>
      <c r="B238" s="13"/>
      <c r="C238" s="13"/>
      <c r="D238" s="13"/>
      <c r="E238" s="13"/>
      <c r="F238" s="13"/>
      <c r="G238" s="13"/>
      <c r="I238" s="2"/>
    </row>
    <row r="239" ht="22.5" customHeight="1" spans="1:90">
      <c r="A239" s="16" t="s">
        <v>374</v>
      </c>
      <c r="B239" s="12">
        <v>2024</v>
      </c>
      <c r="C239" s="12">
        <v>2023</v>
      </c>
      <c r="D239" s="13"/>
      <c r="E239" s="13"/>
      <c r="F239" s="13"/>
      <c r="G239" s="13"/>
      <c r="I239" s="2"/>
    </row>
    <row r="240" ht="22.5" customHeight="1" spans="1:90">
      <c r="A240" s="11"/>
      <c r="B240" s="15" t="s">
        <v>52</v>
      </c>
      <c r="C240" s="15"/>
      <c r="D240" s="13"/>
      <c r="E240" s="13"/>
      <c r="F240" s="13"/>
      <c r="G240" s="13"/>
      <c r="I240" s="2"/>
    </row>
    <row r="241" ht="22.5" customHeight="1" spans="1:22">
      <c r="A241" s="11" t="s">
        <v>375</v>
      </c>
      <c r="B241" s="13">
        <v>55728483</v>
      </c>
      <c r="C241" s="13">
        <v>47159535</v>
      </c>
      <c r="D241" s="13"/>
      <c r="E241" s="13"/>
      <c r="F241" s="13"/>
      <c r="G241" s="13"/>
      <c r="I241" s="2"/>
    </row>
    <row r="242" ht="22.5" customHeight="1" spans="1:22">
      <c r="A242" s="11" t="s">
        <v>376</v>
      </c>
      <c r="B242" s="13">
        <v>1192511</v>
      </c>
      <c r="C242" s="13">
        <v>1501909</v>
      </c>
      <c r="D242" s="13"/>
      <c r="E242" s="13"/>
      <c r="F242" s="13"/>
      <c r="G242" s="13"/>
      <c r="I242" s="2"/>
    </row>
    <row r="243" ht="22.5" customHeight="1" spans="1:22">
      <c r="A243" s="11" t="s">
        <v>377</v>
      </c>
      <c r="B243" s="13">
        <v>18080836</v>
      </c>
      <c r="C243" s="13">
        <v>7999572</v>
      </c>
      <c r="D243" s="13"/>
      <c r="E243" s="13"/>
      <c r="F243" s="13"/>
      <c r="G243" s="13"/>
      <c r="I243" s="2"/>
    </row>
    <row r="244" ht="22.5" customHeight="1" spans="1:22">
      <c r="A244" s="11" t="s">
        <v>378</v>
      </c>
      <c r="B244" s="13">
        <v>153603</v>
      </c>
      <c r="C244" s="13">
        <v>749289</v>
      </c>
      <c r="D244" s="13"/>
      <c r="E244" s="13"/>
      <c r="F244" s="13"/>
      <c r="G244" s="13"/>
      <c r="I244" s="2"/>
    </row>
    <row r="245" ht="22.5" customHeight="1" spans="1:22">
      <c r="A245" s="11" t="s">
        <v>379</v>
      </c>
      <c r="B245" s="13">
        <v>2532247</v>
      </c>
      <c r="C245" s="13">
        <v>1332699</v>
      </c>
      <c r="D245" s="13"/>
      <c r="E245" s="13"/>
      <c r="F245" s="13"/>
      <c r="G245" s="13"/>
      <c r="T245" s="4"/>
      <c r="V245"/>
    </row>
    <row r="246" ht="22.5" customHeight="1" spans="1:22">
      <c r="A246" s="11" t="s">
        <v>380</v>
      </c>
      <c r="B246" s="13"/>
      <c r="C246" s="13">
        <v>7275286</v>
      </c>
      <c r="D246" s="13"/>
      <c r="E246" s="13"/>
      <c r="F246" s="13"/>
      <c r="G246" s="13"/>
      <c r="T246" s="4"/>
      <c r="V246"/>
    </row>
    <row r="247" ht="22.5" customHeight="1" spans="1:22">
      <c r="A247" s="11" t="s">
        <v>381</v>
      </c>
      <c r="B247" s="13">
        <v>3100180</v>
      </c>
      <c r="C247" s="13">
        <v>1169241</v>
      </c>
      <c r="D247" s="13"/>
      <c r="E247" s="13"/>
      <c r="F247" s="13"/>
      <c r="G247" s="13"/>
      <c r="T247" s="4"/>
      <c r="V247"/>
    </row>
    <row r="248" ht="39" customHeight="1" spans="1:22">
      <c r="A248" s="11" t="s">
        <v>382</v>
      </c>
      <c r="B248" s="13">
        <v>3385916</v>
      </c>
      <c r="C248" s="13">
        <v>1056385</v>
      </c>
      <c r="D248" s="13"/>
      <c r="E248" s="13"/>
      <c r="F248" s="13"/>
      <c r="G248" s="13"/>
      <c r="T248" s="4"/>
      <c r="V248"/>
    </row>
    <row r="249" ht="22.5" customHeight="1" spans="1:22">
      <c r="A249" s="11" t="s">
        <v>383</v>
      </c>
      <c r="B249" s="13">
        <v>1324301</v>
      </c>
      <c r="C249" s="13">
        <v>2789527</v>
      </c>
      <c r="D249" s="13"/>
      <c r="E249" s="13"/>
      <c r="F249" s="13"/>
      <c r="G249" s="13"/>
      <c r="T249" s="4"/>
      <c r="V249"/>
    </row>
    <row r="250" ht="22.5" customHeight="1" spans="1:22">
      <c r="A250" s="11" t="s">
        <v>384</v>
      </c>
      <c r="B250" s="13">
        <v>5708</v>
      </c>
      <c r="C250" s="13">
        <v>5762</v>
      </c>
      <c r="D250" s="13"/>
      <c r="E250" s="13"/>
      <c r="F250" s="13"/>
      <c r="G250" s="13"/>
      <c r="T250" s="4"/>
      <c r="V250"/>
    </row>
    <row r="251" ht="22.5" customHeight="1" spans="1:22">
      <c r="A251" s="11" t="s">
        <v>385</v>
      </c>
      <c r="B251" s="13">
        <v>4652052</v>
      </c>
      <c r="C251" s="13">
        <v>4395908</v>
      </c>
      <c r="D251" s="13"/>
      <c r="E251" s="13"/>
      <c r="F251" s="13"/>
      <c r="G251" s="13"/>
      <c r="T251" s="4"/>
      <c r="V251"/>
    </row>
    <row r="252" ht="22.5" customHeight="1" spans="1:22">
      <c r="A252" s="11" t="s">
        <v>325</v>
      </c>
      <c r="B252" s="13"/>
      <c r="C252" s="13">
        <v>247181</v>
      </c>
      <c r="D252" s="13"/>
      <c r="E252" s="13"/>
      <c r="F252" s="13"/>
      <c r="G252" s="13"/>
      <c r="T252" s="4"/>
      <c r="V252"/>
    </row>
    <row r="253" ht="22.5" customHeight="1" spans="1:22">
      <c r="A253" s="11" t="s">
        <v>386</v>
      </c>
      <c r="B253" s="13">
        <v>12910878</v>
      </c>
      <c r="C253" s="13">
        <v>9097179</v>
      </c>
      <c r="D253" s="13"/>
      <c r="E253" s="13"/>
      <c r="F253" s="13"/>
      <c r="G253" s="13"/>
      <c r="T253" s="4"/>
      <c r="V253"/>
    </row>
    <row r="254" ht="22.5" customHeight="1" spans="1:22">
      <c r="A254" s="11" t="s">
        <v>387</v>
      </c>
      <c r="B254" s="13">
        <v>74372</v>
      </c>
      <c r="C254" s="13">
        <v>148039</v>
      </c>
      <c r="D254" s="13"/>
      <c r="E254" s="13"/>
      <c r="F254" s="13"/>
      <c r="G254" s="13"/>
      <c r="T254" s="4"/>
      <c r="V254"/>
    </row>
    <row r="255" ht="22.5" customHeight="1" spans="1:22">
      <c r="A255" s="11" t="s">
        <v>388</v>
      </c>
      <c r="B255" s="13">
        <v>372343</v>
      </c>
      <c r="C255" s="13">
        <v>370889</v>
      </c>
      <c r="D255" s="13"/>
      <c r="E255" s="13"/>
      <c r="F255" s="13"/>
      <c r="G255" s="13"/>
      <c r="T255" s="4"/>
      <c r="V255"/>
    </row>
    <row r="256" ht="22.5" customHeight="1" spans="1:22">
      <c r="A256" s="11" t="s">
        <v>389</v>
      </c>
      <c r="B256" s="13">
        <v>393372</v>
      </c>
      <c r="C256" s="13">
        <v>356426</v>
      </c>
      <c r="D256" s="13"/>
      <c r="E256" s="13"/>
      <c r="F256" s="13"/>
      <c r="G256" s="13"/>
      <c r="T256" s="4"/>
      <c r="V256"/>
    </row>
    <row r="257" ht="22.5" customHeight="1" spans="1:22">
      <c r="A257" s="11" t="s">
        <v>329</v>
      </c>
      <c r="B257" s="13">
        <v>38205805</v>
      </c>
      <c r="C257" s="13">
        <v>17584022</v>
      </c>
      <c r="D257" s="13"/>
      <c r="E257" s="13"/>
      <c r="F257" s="13"/>
      <c r="G257" s="13"/>
      <c r="T257" s="4"/>
      <c r="V257"/>
    </row>
    <row r="258" ht="22.5" customHeight="1" spans="1:22">
      <c r="A258" s="11" t="s">
        <v>390</v>
      </c>
      <c r="B258" s="13">
        <v>17237</v>
      </c>
      <c r="C258" s="13">
        <v>21399</v>
      </c>
      <c r="D258" s="13"/>
      <c r="E258" s="13"/>
      <c r="F258" s="13"/>
      <c r="G258" s="13"/>
      <c r="T258" s="4"/>
      <c r="V258"/>
    </row>
    <row r="259" ht="22.5" customHeight="1" spans="1:22">
      <c r="A259" s="11" t="s">
        <v>391</v>
      </c>
      <c r="B259" s="13">
        <v>964574</v>
      </c>
      <c r="C259" s="13">
        <v>9209613</v>
      </c>
      <c r="D259" s="13"/>
      <c r="E259" s="13"/>
      <c r="F259" s="13"/>
      <c r="G259" s="13"/>
      <c r="T259" s="4"/>
      <c r="V259"/>
    </row>
    <row r="260" ht="22.5" customHeight="1" spans="1:22">
      <c r="A260" s="11" t="s">
        <v>279</v>
      </c>
      <c r="B260" s="13">
        <v>4031246</v>
      </c>
      <c r="C260" s="13">
        <v>3440102</v>
      </c>
      <c r="D260" s="13"/>
      <c r="E260" s="13"/>
      <c r="F260" s="13"/>
      <c r="G260" s="13"/>
      <c r="T260" s="4"/>
      <c r="V260"/>
    </row>
    <row r="261" ht="22.5" customHeight="1" spans="1:22">
      <c r="A261" s="11"/>
      <c r="B261" s="26">
        <f>SUM(B241:B260)</f>
        <v>147125664</v>
      </c>
      <c r="C261" s="26">
        <f>SUM(C241:C260)</f>
        <v>115909963</v>
      </c>
      <c r="D261" s="13"/>
      <c r="E261" s="13"/>
      <c r="F261" s="13"/>
      <c r="G261" s="13"/>
      <c r="T261" s="4"/>
      <c r="V261"/>
    </row>
    <row r="262" ht="22.5" customHeight="1" spans="1:22">
      <c r="A262" s="23"/>
      <c r="B262" s="24"/>
      <c r="C262" s="24"/>
      <c r="D262" s="24"/>
      <c r="E262" s="24"/>
      <c r="F262" s="24"/>
      <c r="G262" s="24"/>
      <c r="I262" s="2"/>
    </row>
    <row r="263" ht="22.5" customHeight="1" spans="1:22">
      <c r="A263" s="16" t="s">
        <v>392</v>
      </c>
      <c r="B263" s="13"/>
      <c r="C263" s="13"/>
      <c r="D263" s="13"/>
      <c r="E263" s="13"/>
      <c r="F263" s="13"/>
      <c r="G263" s="13"/>
      <c r="I263" s="2"/>
    </row>
    <row r="264" ht="22.5" customHeight="1" spans="1:22">
      <c r="A264" s="16" t="s">
        <v>393</v>
      </c>
      <c r="B264" s="13"/>
      <c r="C264" s="13"/>
      <c r="D264" s="13"/>
      <c r="E264" s="13"/>
      <c r="F264" s="13"/>
      <c r="G264" s="13"/>
      <c r="I264" s="2"/>
    </row>
    <row r="265" ht="22.5" customHeight="1" spans="1:22">
      <c r="A265" s="23"/>
      <c r="B265" s="24"/>
      <c r="C265" s="24"/>
      <c r="D265" s="24"/>
      <c r="E265" s="24"/>
      <c r="F265" s="24"/>
      <c r="G265" s="24"/>
      <c r="I265" s="2"/>
    </row>
    <row r="266" ht="22.5" customHeight="1" spans="1:22">
      <c r="A266" s="16" t="s">
        <v>394</v>
      </c>
      <c r="B266" s="12">
        <v>2024</v>
      </c>
      <c r="C266" s="12">
        <v>2023</v>
      </c>
      <c r="D266" s="15" t="s">
        <v>395</v>
      </c>
      <c r="E266" s="15"/>
      <c r="F266" s="12">
        <v>2024</v>
      </c>
      <c r="G266" s="12">
        <v>2023</v>
      </c>
      <c r="I266" s="2"/>
    </row>
    <row r="267" ht="22.5" customHeight="1" spans="1:22">
      <c r="A267" s="11"/>
      <c r="B267" s="13" t="s">
        <v>396</v>
      </c>
      <c r="C267" s="13"/>
      <c r="D267" s="13"/>
      <c r="E267" s="13"/>
      <c r="F267" s="13" t="s">
        <v>397</v>
      </c>
      <c r="G267" s="13"/>
      <c r="I267" s="2"/>
    </row>
    <row r="268" ht="22.5" customHeight="1" spans="1:22">
      <c r="A268" s="11"/>
      <c r="B268" s="35">
        <v>2000000000</v>
      </c>
      <c r="C268" s="35">
        <v>2000000000</v>
      </c>
      <c r="D268" s="13"/>
      <c r="E268" s="13"/>
      <c r="F268" s="35">
        <f>B268/100</f>
        <v>20000000</v>
      </c>
      <c r="G268" s="35">
        <f>C268/100</f>
        <v>20000000</v>
      </c>
      <c r="I268" s="2"/>
    </row>
    <row r="269" ht="22.5" customHeight="1" spans="1:22">
      <c r="A269" s="23"/>
      <c r="B269" s="24"/>
      <c r="C269" s="24"/>
      <c r="D269" s="24"/>
      <c r="E269" s="24"/>
      <c r="F269" s="24"/>
      <c r="G269" s="24"/>
      <c r="I269" s="2"/>
    </row>
    <row r="270" ht="22.5" customHeight="1" spans="1:22">
      <c r="A270" s="16" t="s">
        <v>398</v>
      </c>
      <c r="B270" s="12">
        <v>2024</v>
      </c>
      <c r="C270" s="12">
        <v>2023</v>
      </c>
      <c r="D270" s="15" t="s">
        <v>399</v>
      </c>
      <c r="E270" s="15"/>
      <c r="F270" s="12">
        <v>2024</v>
      </c>
      <c r="G270" s="12">
        <v>2023</v>
      </c>
      <c r="I270" s="2"/>
    </row>
    <row r="271" ht="22.5" customHeight="1" spans="1:22">
      <c r="A271" s="11"/>
      <c r="B271" s="13" t="s">
        <v>396</v>
      </c>
      <c r="C271" s="13"/>
      <c r="D271" s="13"/>
      <c r="E271" s="13"/>
      <c r="F271" s="13" t="s">
        <v>397</v>
      </c>
      <c r="G271" s="13"/>
      <c r="I271" s="2"/>
    </row>
    <row r="272" ht="22.5" customHeight="1" spans="1:22">
      <c r="A272" s="11"/>
      <c r="B272" s="13">
        <v>518000000</v>
      </c>
      <c r="C272" s="13">
        <v>518000000</v>
      </c>
      <c r="D272" s="13"/>
      <c r="E272" s="13"/>
      <c r="F272" s="13">
        <f>B272/100</f>
        <v>5180000</v>
      </c>
      <c r="G272" s="13">
        <f>C272/100</f>
        <v>5180000</v>
      </c>
      <c r="I272" s="2"/>
    </row>
    <row r="273" ht="22.5" customHeight="1" spans="1:22">
      <c r="A273" s="11"/>
      <c r="B273" s="13">
        <v>706179687</v>
      </c>
      <c r="C273" s="13">
        <v>706179687</v>
      </c>
      <c r="D273" s="13"/>
      <c r="E273" s="13"/>
      <c r="F273" s="13">
        <f>B273/100</f>
        <v>7061796.87</v>
      </c>
      <c r="G273" s="13">
        <f>C273/100</f>
        <v>7061796.87</v>
      </c>
      <c r="I273" s="2"/>
    </row>
    <row r="274" ht="22.5" customHeight="1" spans="1:22">
      <c r="A274" s="16"/>
      <c r="B274" s="26">
        <f>SUM(B272:B273)</f>
        <v>1224179687</v>
      </c>
      <c r="C274" s="26">
        <f>SUM(C272:C273)</f>
        <v>1224179687</v>
      </c>
      <c r="D274" s="13"/>
      <c r="E274" s="13"/>
      <c r="F274" s="26">
        <f>SUM(F272:F273)</f>
        <v>12241796.87</v>
      </c>
      <c r="G274" s="26">
        <f>SUM(G272:G273)</f>
        <v>12241796.87</v>
      </c>
      <c r="I274" s="2"/>
    </row>
    <row r="275" ht="22.5" customHeight="1" spans="1:22">
      <c r="A275" s="16" t="s">
        <v>400</v>
      </c>
      <c r="B275" s="13"/>
      <c r="C275" s="13"/>
      <c r="D275" s="13"/>
      <c r="E275" s="13"/>
      <c r="F275" s="13"/>
      <c r="G275" s="13"/>
      <c r="I275" s="2"/>
    </row>
    <row r="276" ht="22.5" customHeight="1" spans="1:22">
      <c r="A276" s="16" t="s">
        <v>401</v>
      </c>
      <c r="B276" s="12">
        <v>2024</v>
      </c>
      <c r="C276" s="12"/>
      <c r="D276" s="12"/>
      <c r="E276" s="13"/>
      <c r="F276" s="13"/>
      <c r="G276" s="13"/>
      <c r="I276" s="2"/>
    </row>
    <row r="277" ht="22.5" customHeight="1" spans="1:22">
      <c r="A277" s="11"/>
      <c r="B277" s="13" t="s">
        <v>402</v>
      </c>
      <c r="C277" s="13" t="s">
        <v>68</v>
      </c>
      <c r="D277" s="13" t="s">
        <v>138</v>
      </c>
      <c r="E277" s="13"/>
      <c r="F277" s="13"/>
      <c r="G277" s="13"/>
      <c r="I277" s="2"/>
    </row>
    <row r="278" ht="22.5" customHeight="1" spans="1:22">
      <c r="A278" s="11"/>
      <c r="B278" s="15" t="s">
        <v>52</v>
      </c>
      <c r="C278" s="15"/>
      <c r="D278" s="15"/>
      <c r="E278" s="13"/>
      <c r="F278" s="13"/>
      <c r="G278" s="13"/>
      <c r="I278" s="2"/>
    </row>
    <row r="279" ht="22.5" customHeight="1" spans="1:22">
      <c r="A279" s="11" t="s">
        <v>403</v>
      </c>
      <c r="B279" s="13"/>
      <c r="C279" s="13"/>
      <c r="D279" s="13"/>
      <c r="E279" s="64"/>
      <c r="F279" s="13"/>
      <c r="G279" s="13"/>
      <c r="I279" s="2"/>
    </row>
    <row r="280" ht="22.5" customHeight="1" spans="1:22">
      <c r="A280" s="11" t="s">
        <v>404</v>
      </c>
      <c r="B280" s="17">
        <v>73035015</v>
      </c>
      <c r="C280" s="25">
        <v>0</v>
      </c>
      <c r="D280" s="18">
        <f>SUM(B280:C280)</f>
        <v>73035015</v>
      </c>
      <c r="E280" s="13"/>
      <c r="F280" s="13"/>
      <c r="G280" s="13"/>
      <c r="S280" s="4"/>
      <c r="T280" s="4"/>
      <c r="U280"/>
      <c r="V280"/>
    </row>
    <row r="281" ht="22.5" customHeight="1" spans="1:22">
      <c r="A281" s="11" t="s">
        <v>405</v>
      </c>
      <c r="B281" s="21">
        <v>7869404</v>
      </c>
      <c r="C281" s="13">
        <v>0</v>
      </c>
      <c r="D281" s="22">
        <f>SUM(B281:C281)</f>
        <v>7869404</v>
      </c>
      <c r="E281" s="13"/>
      <c r="F281" s="13"/>
      <c r="G281" s="13"/>
      <c r="S281" s="4"/>
      <c r="T281" s="4"/>
      <c r="U281"/>
      <c r="V281"/>
    </row>
    <row r="282" ht="22.5" customHeight="1" spans="1:22">
      <c r="A282" s="11" t="s">
        <v>406</v>
      </c>
      <c r="B282" s="21">
        <v>39672178</v>
      </c>
      <c r="C282" s="13">
        <v>0</v>
      </c>
      <c r="D282" s="22">
        <f>SUM(B282:C282)</f>
        <v>39672178</v>
      </c>
      <c r="E282" s="13"/>
      <c r="F282" s="13"/>
      <c r="G282" s="13"/>
      <c r="S282" s="4"/>
      <c r="T282" s="4"/>
      <c r="U282"/>
      <c r="V282"/>
    </row>
    <row r="283" ht="22.5" customHeight="1" spans="1:22">
      <c r="A283" s="58" t="s">
        <v>407</v>
      </c>
      <c r="B283" s="21">
        <v>2387</v>
      </c>
      <c r="C283" s="13">
        <v>0</v>
      </c>
      <c r="D283" s="22">
        <f>SUM(B283:C283)</f>
        <v>2387</v>
      </c>
      <c r="E283" s="13"/>
      <c r="F283" s="13"/>
      <c r="G283" s="13"/>
      <c r="S283" s="4"/>
      <c r="T283" s="4"/>
      <c r="U283"/>
      <c r="V283"/>
    </row>
    <row r="284" ht="22.5" customHeight="1" spans="1:22">
      <c r="A284" s="298" t="s">
        <v>408</v>
      </c>
      <c r="B284" s="19">
        <v>21884</v>
      </c>
      <c r="C284" s="34">
        <v>0</v>
      </c>
      <c r="D284" s="20">
        <f>SUM(B284:C284)</f>
        <v>21884</v>
      </c>
      <c r="E284" s="13"/>
      <c r="F284" s="13"/>
      <c r="G284" s="13"/>
      <c r="S284" s="4"/>
      <c r="T284" s="4"/>
      <c r="U284"/>
      <c r="V284"/>
    </row>
    <row r="285" ht="22.5" customHeight="1" spans="1:22">
      <c r="A285" s="11"/>
      <c r="B285" s="13">
        <f>SUM(B280:B284)</f>
        <v>120600868</v>
      </c>
      <c r="C285" s="13">
        <f>SUM(C280:C284)</f>
        <v>0</v>
      </c>
      <c r="D285" s="64">
        <f>SUM(D280:D284)</f>
        <v>120600868</v>
      </c>
      <c r="E285" s="13"/>
      <c r="F285" s="13"/>
      <c r="G285" s="13"/>
      <c r="S285" s="4"/>
      <c r="T285" s="4"/>
      <c r="U285"/>
      <c r="V285"/>
    </row>
    <row r="286" ht="22.5" customHeight="1" spans="1:22">
      <c r="A286" s="11" t="s">
        <v>409</v>
      </c>
      <c r="B286" s="13"/>
      <c r="C286" s="13"/>
      <c r="D286" s="13"/>
      <c r="E286" s="13"/>
      <c r="F286" s="13"/>
      <c r="G286" s="13"/>
      <c r="S286" s="4"/>
      <c r="T286" s="4"/>
      <c r="U286"/>
      <c r="V286"/>
    </row>
    <row r="287" ht="22.5" customHeight="1" spans="1:22">
      <c r="A287" s="11" t="s">
        <v>404</v>
      </c>
      <c r="B287" s="17">
        <v>37979386</v>
      </c>
      <c r="C287" s="25">
        <v>0</v>
      </c>
      <c r="D287" s="18">
        <f>SUM(B287:C287)</f>
        <v>37979386</v>
      </c>
      <c r="E287" s="13"/>
      <c r="F287" s="13"/>
      <c r="G287" s="13"/>
      <c r="S287" s="4"/>
      <c r="T287" s="4"/>
      <c r="U287"/>
      <c r="V287"/>
    </row>
    <row r="288" ht="22.5" customHeight="1" spans="1:22">
      <c r="A288" s="11" t="s">
        <v>410</v>
      </c>
      <c r="B288" s="21">
        <v>4092088</v>
      </c>
      <c r="C288" s="13">
        <v>0</v>
      </c>
      <c r="D288" s="22">
        <f>SUM(B288:C288)</f>
        <v>4092088</v>
      </c>
      <c r="E288" s="13"/>
      <c r="F288" s="13"/>
      <c r="G288" s="13"/>
      <c r="S288" s="4"/>
      <c r="T288" s="4"/>
      <c r="U288"/>
      <c r="V288"/>
    </row>
    <row r="289" ht="22.5" customHeight="1" spans="1:33">
      <c r="A289" s="11" t="s">
        <v>411</v>
      </c>
      <c r="B289" s="21">
        <v>1218729</v>
      </c>
      <c r="C289" s="13">
        <v>0</v>
      </c>
      <c r="D289" s="22">
        <f>SUM(B289:C289)</f>
        <v>1218729</v>
      </c>
      <c r="E289" s="13"/>
      <c r="F289" s="13"/>
      <c r="G289" s="13"/>
      <c r="S289" s="4"/>
      <c r="T289" s="4"/>
      <c r="U289"/>
      <c r="V289"/>
    </row>
    <row r="290" ht="22.5" customHeight="1" spans="1:33">
      <c r="A290" s="58" t="s">
        <v>407</v>
      </c>
      <c r="B290" s="19">
        <v>1241</v>
      </c>
      <c r="C290" s="34">
        <v>0</v>
      </c>
      <c r="D290" s="20">
        <f>SUM(B290:C290)</f>
        <v>1241</v>
      </c>
      <c r="E290" s="13"/>
      <c r="F290" s="13"/>
      <c r="G290" s="13"/>
      <c r="S290" s="4"/>
      <c r="T290" s="4"/>
      <c r="U290"/>
      <c r="V290"/>
    </row>
    <row r="291" ht="22.5" customHeight="1" spans="1:33">
      <c r="A291" s="11"/>
      <c r="B291" s="13">
        <f>SUM(B287:B290)</f>
        <v>43291444</v>
      </c>
      <c r="C291" s="13">
        <f>SUM(C287:C290)</f>
        <v>0</v>
      </c>
      <c r="D291" s="13">
        <f>SUM(D287:D290)</f>
        <v>43291444</v>
      </c>
      <c r="E291" s="13"/>
      <c r="F291" s="13"/>
      <c r="G291" s="13"/>
      <c r="S291" s="4"/>
      <c r="T291" s="4"/>
      <c r="U291"/>
      <c r="V291"/>
    </row>
    <row r="292" ht="22.5" customHeight="1" spans="1:33">
      <c r="A292" s="11"/>
      <c r="B292" s="26">
        <f>B285-B291</f>
        <v>77309424</v>
      </c>
      <c r="C292" s="26">
        <f>C285-C291</f>
        <v>0</v>
      </c>
      <c r="D292" s="26">
        <f>D285-D291</f>
        <v>77309424</v>
      </c>
      <c r="E292" s="13"/>
      <c r="F292" s="13"/>
      <c r="G292" s="13"/>
      <c r="S292" s="4"/>
      <c r="T292" s="4"/>
      <c r="U292"/>
      <c r="V292"/>
    </row>
    <row r="293" ht="22.5" customHeight="1" spans="1:33">
      <c r="A293" s="11" t="s">
        <v>412</v>
      </c>
      <c r="B293" s="13"/>
      <c r="C293" s="13"/>
      <c r="D293" s="13"/>
      <c r="E293" s="13"/>
      <c r="F293" s="13"/>
      <c r="G293" s="13"/>
      <c r="I293" s="2"/>
    </row>
    <row r="294" ht="22.5" customHeight="1" spans="1:33">
      <c r="A294" s="11" t="s">
        <v>413</v>
      </c>
      <c r="B294" s="12">
        <v>2023</v>
      </c>
      <c r="C294" s="12"/>
      <c r="D294" s="12"/>
      <c r="E294" s="13"/>
      <c r="F294" s="13"/>
      <c r="G294" s="13"/>
      <c r="I294" s="2"/>
    </row>
    <row r="295" ht="22.5" customHeight="1" spans="1:33">
      <c r="A295" s="11"/>
      <c r="B295" s="13" t="s">
        <v>402</v>
      </c>
      <c r="C295" s="13" t="s">
        <v>68</v>
      </c>
      <c r="D295" s="13" t="s">
        <v>138</v>
      </c>
      <c r="E295" s="13"/>
      <c r="F295" s="13"/>
      <c r="G295" s="13"/>
      <c r="I295" s="2"/>
    </row>
    <row r="296" ht="22.5" customHeight="1" spans="1:33">
      <c r="A296" s="11"/>
      <c r="B296" s="15" t="s">
        <v>52</v>
      </c>
      <c r="C296" s="15"/>
      <c r="D296" s="15"/>
      <c r="E296" s="13"/>
      <c r="F296" s="13"/>
      <c r="G296" s="13"/>
      <c r="I296" s="2"/>
    </row>
    <row r="297" ht="22.5" customHeight="1" spans="1:33">
      <c r="A297" s="11" t="s">
        <v>403</v>
      </c>
      <c r="B297" s="13"/>
      <c r="C297" s="13"/>
      <c r="D297" s="13"/>
      <c r="E297" s="13"/>
      <c r="F297" s="13"/>
      <c r="G297" s="1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14"/>
      <c r="V297" s="14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22.5" customHeight="1" spans="1:33">
      <c r="A298" s="11" t="s">
        <v>414</v>
      </c>
      <c r="B298" s="17">
        <v>2394621</v>
      </c>
      <c r="C298" s="25">
        <v>-1053046</v>
      </c>
      <c r="D298" s="18">
        <f>SUM(B298:C298)</f>
        <v>1341575</v>
      </c>
      <c r="E298" s="13"/>
      <c r="F298" s="13"/>
      <c r="G298" s="1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14"/>
      <c r="U298" s="14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22.5" customHeight="1" spans="1:33">
      <c r="A299" s="11" t="s">
        <v>415</v>
      </c>
      <c r="B299" s="21">
        <v>3678469</v>
      </c>
      <c r="C299" s="13">
        <v>0</v>
      </c>
      <c r="D299" s="22">
        <f>B299+C299</f>
        <v>3678469</v>
      </c>
      <c r="E299" s="13"/>
      <c r="F299" s="13"/>
      <c r="G299" s="1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14"/>
      <c r="U299" s="14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22.5" customHeight="1" spans="1:33">
      <c r="A300" s="11" t="s">
        <v>406</v>
      </c>
      <c r="B300" s="21">
        <v>44357289</v>
      </c>
      <c r="C300" s="13">
        <v>3710727</v>
      </c>
      <c r="D300" s="22">
        <f>B300+C300</f>
        <v>48068016</v>
      </c>
      <c r="E300" s="13"/>
      <c r="F300" s="13"/>
      <c r="G300" s="1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14"/>
      <c r="U300" s="14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22.5" customHeight="1" spans="1:33">
      <c r="A301" s="58" t="s">
        <v>407</v>
      </c>
      <c r="B301" s="21">
        <v>0</v>
      </c>
      <c r="C301" s="13">
        <v>0</v>
      </c>
      <c r="D301" s="22">
        <f>B301+C301</f>
        <v>0</v>
      </c>
      <c r="E301" s="13"/>
      <c r="F301" s="13"/>
      <c r="G301" s="1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14"/>
      <c r="U301" s="14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22.5" customHeight="1" spans="1:33">
      <c r="A302" s="298" t="s">
        <v>408</v>
      </c>
      <c r="B302" s="19">
        <v>-7753</v>
      </c>
      <c r="C302" s="34">
        <v>0</v>
      </c>
      <c r="D302" s="20">
        <f>B302+C302</f>
        <v>-7753</v>
      </c>
      <c r="E302" s="13"/>
      <c r="F302" s="13"/>
      <c r="G302" s="1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14"/>
      <c r="U302" s="14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22.5" customHeight="1" spans="1:33">
      <c r="A303" s="11"/>
      <c r="B303" s="13">
        <f>SUM(B298:B302)</f>
        <v>50422626</v>
      </c>
      <c r="C303" s="13">
        <f>SUM(C298:C302)</f>
        <v>2657681</v>
      </c>
      <c r="D303" s="13">
        <f>SUM(D298:D302)</f>
        <v>53080307</v>
      </c>
      <c r="E303" s="13"/>
      <c r="F303" s="13"/>
      <c r="G303" s="1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14"/>
      <c r="U303" s="14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22.5" customHeight="1" spans="1:33">
      <c r="A304" s="11" t="s">
        <v>409</v>
      </c>
      <c r="B304" s="13"/>
      <c r="C304" s="13"/>
      <c r="D304" s="13"/>
      <c r="E304" s="13"/>
      <c r="F304" s="13"/>
      <c r="G304" s="1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14"/>
      <c r="U304" s="14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22.5" customHeight="1" spans="1:33">
      <c r="A305" s="11" t="s">
        <v>414</v>
      </c>
      <c r="B305" s="17">
        <v>1482250</v>
      </c>
      <c r="C305" s="25">
        <v>-263262</v>
      </c>
      <c r="D305" s="18">
        <f>B305+C305</f>
        <v>1218988</v>
      </c>
      <c r="E305" s="13"/>
      <c r="F305" s="13"/>
      <c r="G305" s="1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14"/>
      <c r="U305" s="14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22.5" customHeight="1" spans="1:33">
      <c r="A306" s="11" t="s">
        <v>415</v>
      </c>
      <c r="B306" s="21">
        <v>1802450</v>
      </c>
      <c r="C306" s="13">
        <v>0</v>
      </c>
      <c r="D306" s="22">
        <f>B306+C306</f>
        <v>1802450</v>
      </c>
      <c r="E306" s="13"/>
      <c r="F306" s="13"/>
      <c r="G306" s="1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14"/>
      <c r="U306" s="14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22.5" customHeight="1" spans="1:33">
      <c r="A307" s="11" t="s">
        <v>406</v>
      </c>
      <c r="B307" s="21">
        <v>2561979</v>
      </c>
      <c r="C307" s="13">
        <v>778757</v>
      </c>
      <c r="D307" s="22">
        <f>B307+C307</f>
        <v>3340736</v>
      </c>
      <c r="E307" s="13"/>
      <c r="F307" s="13"/>
      <c r="G307" s="1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14"/>
      <c r="U307" s="14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22.5" customHeight="1" spans="1:33">
      <c r="A308" s="58" t="s">
        <v>407</v>
      </c>
      <c r="B308" s="19">
        <v>0</v>
      </c>
      <c r="C308" s="34">
        <v>0</v>
      </c>
      <c r="D308" s="20">
        <f>B308+C308</f>
        <v>0</v>
      </c>
      <c r="E308" s="13"/>
      <c r="F308" s="13"/>
      <c r="G308" s="1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14"/>
      <c r="U308" s="14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22.5" customHeight="1" spans="1:33">
      <c r="A309" s="11"/>
      <c r="B309" s="13">
        <f>SUM(B305:B308)</f>
        <v>5846679</v>
      </c>
      <c r="C309" s="13">
        <f>SUM(C305:C308)</f>
        <v>515495</v>
      </c>
      <c r="D309" s="13">
        <f>SUM(D305:D308)</f>
        <v>6362174</v>
      </c>
      <c r="E309" s="13"/>
      <c r="F309" s="13"/>
      <c r="G309" s="1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14"/>
      <c r="U309" s="14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22.5" customHeight="1" spans="1:33">
      <c r="A310" s="11"/>
      <c r="B310" s="13">
        <f>B303-B309</f>
        <v>44575947</v>
      </c>
      <c r="C310" s="13">
        <f>C303-C309</f>
        <v>2142186</v>
      </c>
      <c r="D310" s="13">
        <f>D303-D309</f>
        <v>46718133</v>
      </c>
      <c r="E310" s="13"/>
      <c r="F310" s="13"/>
      <c r="G310" s="1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14"/>
      <c r="U310" s="14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22.5" customHeight="1" spans="1:33">
      <c r="A311" s="16" t="s">
        <v>416</v>
      </c>
      <c r="B311" s="13"/>
      <c r="C311" s="13"/>
      <c r="D311" s="13"/>
      <c r="E311" s="13"/>
      <c r="F311" s="13"/>
      <c r="G311" s="1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14"/>
      <c r="V311" s="14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22.5" customHeight="1" spans="1:33">
      <c r="A312" s="16" t="s">
        <v>417</v>
      </c>
      <c r="B312" s="66">
        <v>2024</v>
      </c>
      <c r="C312" s="66"/>
      <c r="D312" s="66">
        <v>2023</v>
      </c>
      <c r="E312" s="67"/>
      <c r="F312" s="13"/>
      <c r="G312" s="1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14"/>
      <c r="U312" s="14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2.5" customHeight="1" spans="1:33">
      <c r="A313" s="16"/>
      <c r="B313" s="67" t="s">
        <v>52</v>
      </c>
      <c r="C313" s="67"/>
      <c r="D313" s="67"/>
      <c r="E313" s="67"/>
      <c r="F313" s="13"/>
      <c r="G313" s="1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14"/>
      <c r="U313" s="14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2.5" customHeight="1" spans="1:33">
      <c r="A314" s="11"/>
      <c r="B314" s="67" t="s">
        <v>418</v>
      </c>
      <c r="C314" s="67" t="s">
        <v>419</v>
      </c>
      <c r="D314" s="67" t="s">
        <v>418</v>
      </c>
      <c r="E314" s="67" t="s">
        <v>138</v>
      </c>
      <c r="F314" s="13"/>
      <c r="G314" s="1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14"/>
      <c r="U314" s="14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2.5" customHeight="1" spans="1:33">
      <c r="A315" s="11"/>
      <c r="B315" s="68">
        <v>0.0113</v>
      </c>
      <c r="C315" s="68">
        <v>0.45</v>
      </c>
      <c r="D315" s="68">
        <v>0.0113</v>
      </c>
      <c r="E315" s="13"/>
      <c r="F315" s="13"/>
      <c r="G315" s="1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14"/>
      <c r="U315" s="14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2.5" customHeight="1" spans="1:33">
      <c r="A316" s="11" t="s">
        <v>420</v>
      </c>
      <c r="B316" s="13">
        <v>0.0113</v>
      </c>
      <c r="C316" s="13">
        <v>0.45</v>
      </c>
      <c r="D316" s="13">
        <v>0.0113</v>
      </c>
      <c r="E316" s="13">
        <v>0</v>
      </c>
      <c r="F316" s="13"/>
      <c r="G316" s="1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14"/>
      <c r="U316" s="14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2.5" customHeight="1" spans="1:33">
      <c r="A317" s="11" t="s">
        <v>421</v>
      </c>
      <c r="B317" s="13">
        <v>5222132</v>
      </c>
      <c r="C317" s="13">
        <v>328789627</v>
      </c>
      <c r="D317" s="13">
        <v>5178104</v>
      </c>
      <c r="E317" s="13">
        <v>333967731</v>
      </c>
      <c r="F317" s="13"/>
      <c r="G317" s="1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14"/>
      <c r="U317" s="14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2.5" customHeight="1" spans="1:33">
      <c r="A318" s="11" t="s">
        <v>422</v>
      </c>
      <c r="B318" s="13">
        <v>798416</v>
      </c>
      <c r="C318" s="13">
        <v>295742667</v>
      </c>
      <c r="D318" s="13">
        <v>2112043</v>
      </c>
      <c r="E318" s="13">
        <v>297854710</v>
      </c>
      <c r="F318" s="13"/>
      <c r="G318" s="1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14"/>
      <c r="U318" s="14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2.5" customHeight="1" spans="1:33">
      <c r="A319" s="11" t="s">
        <v>423</v>
      </c>
      <c r="B319" s="26">
        <f>B317-B318</f>
        <v>4423716</v>
      </c>
      <c r="C319" s="26">
        <f>C317-C318</f>
        <v>33046960</v>
      </c>
      <c r="D319" s="26">
        <f>D317-D318</f>
        <v>3066061</v>
      </c>
      <c r="E319" s="26">
        <f>E317-E318</f>
        <v>36113021</v>
      </c>
      <c r="F319" s="13"/>
      <c r="G319" s="1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14"/>
      <c r="U319" s="14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2.5" customHeight="1" spans="1:33">
      <c r="A320" s="11" t="s">
        <v>424</v>
      </c>
      <c r="B320" s="13">
        <v>49910</v>
      </c>
      <c r="C320" s="13">
        <f>C319*C315</f>
        <v>14871132</v>
      </c>
      <c r="D320" s="13">
        <v>33247</v>
      </c>
      <c r="E320" s="13">
        <v>14904379</v>
      </c>
      <c r="F320" s="13"/>
      <c r="G320" s="1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14"/>
      <c r="U320" s="14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2.5" customHeight="1" spans="1:33">
      <c r="A321" s="23"/>
      <c r="B321" s="24"/>
      <c r="C321" s="24"/>
      <c r="D321" s="24"/>
      <c r="E321" s="24"/>
      <c r="F321" s="24"/>
      <c r="G321" s="2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14"/>
      <c r="V321" s="14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22.5" customHeight="1" spans="1:33">
      <c r="A322" s="16" t="s">
        <v>425</v>
      </c>
      <c r="B322" s="13"/>
      <c r="C322" s="13"/>
      <c r="D322" s="13"/>
      <c r="E322" s="13"/>
      <c r="F322" s="13"/>
      <c r="G322" s="1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14"/>
      <c r="V322" s="14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22.5" customHeight="1" spans="1:33">
      <c r="A323" s="16" t="s">
        <v>426</v>
      </c>
      <c r="B323" s="12">
        <v>2024</v>
      </c>
      <c r="C323" s="12">
        <v>2023</v>
      </c>
      <c r="D323" s="13"/>
      <c r="E323" s="13"/>
      <c r="F323" s="13"/>
      <c r="G323" s="1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14"/>
      <c r="V323" s="14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22.5" customHeight="1" spans="1:33">
      <c r="A324" s="11"/>
      <c r="B324" s="15" t="s">
        <v>52</v>
      </c>
      <c r="C324" s="15"/>
      <c r="D324" s="13"/>
      <c r="E324" s="13"/>
      <c r="F324" s="13"/>
      <c r="G324" s="1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14"/>
      <c r="V324" s="14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22.5" customHeight="1" spans="1:33">
      <c r="A325" s="11" t="s">
        <v>427</v>
      </c>
      <c r="B325" s="13"/>
      <c r="C325" s="13"/>
      <c r="D325" s="13"/>
      <c r="E325" s="13"/>
      <c r="F325" s="13"/>
      <c r="G325" s="1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14"/>
      <c r="V325" s="14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22.5" customHeight="1" spans="1:33">
      <c r="A326" s="11" t="s">
        <v>428</v>
      </c>
      <c r="B326" s="13">
        <v>113169381</v>
      </c>
      <c r="C326" s="13">
        <v>123921580</v>
      </c>
      <c r="D326" s="13"/>
      <c r="E326" s="13"/>
      <c r="F326" s="13"/>
      <c r="G326" s="1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14"/>
      <c r="V326" s="14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22.5" customHeight="1" spans="1:33">
      <c r="A327" s="11" t="s">
        <v>30</v>
      </c>
      <c r="B327" s="13">
        <v>961335176</v>
      </c>
      <c r="C327" s="13">
        <v>395162738</v>
      </c>
      <c r="D327" s="13"/>
      <c r="E327" s="13"/>
      <c r="F327" s="13"/>
      <c r="G327" s="1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14"/>
      <c r="V327" s="14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22.5" customHeight="1" spans="1:33">
      <c r="A328" s="11" t="s">
        <v>29</v>
      </c>
      <c r="B328" s="13">
        <v>3271180</v>
      </c>
      <c r="C328" s="13">
        <v>10935014</v>
      </c>
      <c r="D328" s="13"/>
      <c r="E328" s="13"/>
      <c r="F328" s="13"/>
      <c r="G328" s="1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14"/>
      <c r="V328" s="14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22.5" customHeight="1" spans="1:33">
      <c r="A329" s="11" t="s">
        <v>429</v>
      </c>
      <c r="B329" s="13">
        <v>6865760</v>
      </c>
      <c r="C329" s="13">
        <v>5192192</v>
      </c>
      <c r="D329" s="13"/>
      <c r="E329" s="13"/>
      <c r="F329" s="13"/>
      <c r="G329" s="1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14"/>
      <c r="V329" s="14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22.5" customHeight="1" spans="1:33">
      <c r="A330" s="11"/>
      <c r="B330" s="26">
        <f>SUM(B326:B329)</f>
        <v>1084641497</v>
      </c>
      <c r="C330" s="26">
        <f>SUM(C326:C329)</f>
        <v>535211524</v>
      </c>
      <c r="D330" s="13"/>
      <c r="E330" s="13"/>
      <c r="F330" s="13"/>
      <c r="G330" s="13"/>
      <c r="H330" s="69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1"/>
      <c r="V330" s="14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22.5" customHeight="1" spans="1:33">
      <c r="A331" s="72" t="s">
        <v>430</v>
      </c>
      <c r="B331" s="73"/>
      <c r="C331" s="73"/>
      <c r="D331" s="13"/>
      <c r="E331" s="13"/>
      <c r="F331" s="13"/>
      <c r="G331" s="13"/>
      <c r="H331" s="69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1"/>
      <c r="V331" s="14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>
      <c r="A332" s="72" t="s">
        <v>431</v>
      </c>
      <c r="B332" s="12">
        <v>2024</v>
      </c>
      <c r="C332" s="12">
        <v>2023</v>
      </c>
      <c r="D332" s="74"/>
      <c r="E332" s="74"/>
      <c r="F332" s="74"/>
      <c r="G332" s="69"/>
      <c r="H332" s="69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1"/>
      <c r="V332" s="14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>
      <c r="A333" s="72"/>
      <c r="B333" s="15" t="s">
        <v>52</v>
      </c>
      <c r="C333" s="15"/>
      <c r="D333" s="74"/>
      <c r="E333" s="74"/>
      <c r="F333" s="74"/>
      <c r="G333" s="69"/>
      <c r="H333" s="69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1"/>
      <c r="V333" s="14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>
      <c r="A334" s="75" t="s">
        <v>427</v>
      </c>
      <c r="B334" s="76"/>
      <c r="C334" s="76"/>
      <c r="D334" s="74"/>
      <c r="E334" s="74"/>
      <c r="F334" s="74"/>
      <c r="G334" s="69"/>
      <c r="H334" s="69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1"/>
      <c r="V334" s="14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>
      <c r="A335" s="75" t="s">
        <v>432</v>
      </c>
      <c r="B335" s="74">
        <v>202299931</v>
      </c>
      <c r="C335" s="74">
        <v>177753215</v>
      </c>
      <c r="D335" s="74"/>
      <c r="E335" s="74"/>
      <c r="F335" s="74"/>
      <c r="G335" s="69"/>
      <c r="H335" s="69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1"/>
      <c r="V335" s="14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>
      <c r="A336" s="75" t="s">
        <v>55</v>
      </c>
      <c r="B336" s="74">
        <v>701165478</v>
      </c>
      <c r="C336" s="74">
        <v>202014336</v>
      </c>
      <c r="D336" s="74"/>
      <c r="E336" s="74"/>
      <c r="F336" s="74"/>
      <c r="G336" s="69"/>
      <c r="H336" s="69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1"/>
      <c r="V336" s="14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5">
      <c r="A337" s="75" t="s">
        <v>58</v>
      </c>
      <c r="B337" s="74">
        <v>2130979</v>
      </c>
      <c r="C337" s="74">
        <v>2236433</v>
      </c>
      <c r="D337" s="74"/>
      <c r="E337" s="74"/>
      <c r="F337" s="74"/>
      <c r="G337" s="69"/>
      <c r="H337" s="69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1"/>
      <c r="V337" s="14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5">
      <c r="A338" s="75" t="s">
        <v>433</v>
      </c>
      <c r="B338" s="74">
        <v>3992583</v>
      </c>
      <c r="C338" s="74">
        <v>2996229</v>
      </c>
      <c r="D338" s="74"/>
      <c r="E338" s="74"/>
      <c r="F338" s="74"/>
      <c r="G338" s="69"/>
      <c r="H338" s="69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1"/>
      <c r="V338" s="14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5">
      <c r="A339" s="75" t="s">
        <v>434</v>
      </c>
      <c r="B339" s="74">
        <v>1504645</v>
      </c>
      <c r="C339" s="74">
        <v>1236242</v>
      </c>
      <c r="D339" s="74"/>
      <c r="E339" s="74"/>
      <c r="F339" s="74"/>
      <c r="G339" s="69"/>
      <c r="H339" s="69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1"/>
      <c r="V339" s="14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16.25" spans="1:35">
      <c r="A340" s="75"/>
      <c r="B340" s="77">
        <f>SUM(B335:B339)</f>
        <v>911093616</v>
      </c>
      <c r="C340" s="77">
        <f>SUM(C335:C339)</f>
        <v>386236455</v>
      </c>
      <c r="D340" s="74"/>
      <c r="E340" s="74"/>
      <c r="F340" s="74"/>
      <c r="G340" s="69"/>
      <c r="H340" s="69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1"/>
      <c r="X340" s="14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ht="16.25" spans="1:35">
      <c r="A341" s="75"/>
      <c r="B341" s="74"/>
      <c r="C341" s="74"/>
      <c r="D341" s="74"/>
      <c r="E341" s="74"/>
      <c r="F341" s="74"/>
      <c r="G341" s="69"/>
      <c r="H341" s="69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1"/>
      <c r="V341" s="14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5">
      <c r="A342" s="72" t="s">
        <v>435</v>
      </c>
      <c r="B342" s="74"/>
      <c r="C342" s="74"/>
      <c r="D342" s="74"/>
      <c r="E342" s="74"/>
      <c r="F342" s="74"/>
      <c r="G342" s="69"/>
      <c r="H342" s="69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1"/>
      <c r="V342" s="14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5">
      <c r="A343" s="72" t="s">
        <v>436</v>
      </c>
      <c r="B343" s="12">
        <v>2024</v>
      </c>
      <c r="C343" s="12">
        <v>2023</v>
      </c>
      <c r="D343" s="74"/>
      <c r="E343" s="74"/>
      <c r="F343" s="74"/>
      <c r="G343" s="69"/>
      <c r="H343" s="69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1"/>
      <c r="V343" s="14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5">
      <c r="A344" s="75"/>
      <c r="B344" s="15" t="s">
        <v>52</v>
      </c>
      <c r="C344" s="15"/>
      <c r="D344" s="74"/>
      <c r="E344" s="74"/>
      <c r="F344" s="74"/>
      <c r="G344" s="69"/>
      <c r="H344" s="69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1"/>
      <c r="V344" s="14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5">
      <c r="A345" s="75" t="s">
        <v>437</v>
      </c>
      <c r="B345" s="74">
        <v>1956273</v>
      </c>
      <c r="C345" s="74">
        <v>2732732</v>
      </c>
      <c r="D345" s="74"/>
      <c r="E345" s="74"/>
      <c r="F345" s="74"/>
      <c r="G345" s="69"/>
      <c r="H345" s="69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1"/>
      <c r="V345" s="14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5">
      <c r="A346" s="75" t="s">
        <v>438</v>
      </c>
      <c r="B346" s="74">
        <v>1303431</v>
      </c>
      <c r="C346" s="74">
        <v>1759924</v>
      </c>
      <c r="D346" s="74"/>
      <c r="E346" s="74"/>
      <c r="F346" s="74"/>
      <c r="G346" s="69"/>
      <c r="H346" s="69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1"/>
      <c r="V346" s="14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5">
      <c r="A347" s="75" t="s">
        <v>439</v>
      </c>
      <c r="B347" s="74">
        <v>3815903</v>
      </c>
      <c r="C347" s="74">
        <v>3128939</v>
      </c>
      <c r="D347" s="74"/>
      <c r="E347" s="74"/>
      <c r="F347" s="74"/>
      <c r="G347" s="69"/>
      <c r="H347" s="69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1"/>
      <c r="V347" s="14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5">
      <c r="A348" s="75" t="s">
        <v>440</v>
      </c>
      <c r="B348" s="74">
        <v>277908</v>
      </c>
      <c r="C348" s="74">
        <v>318860</v>
      </c>
      <c r="D348" s="74"/>
      <c r="E348" s="74"/>
      <c r="F348" s="74"/>
      <c r="G348" s="69"/>
      <c r="H348" s="69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1"/>
      <c r="V348" s="14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5">
      <c r="A349" s="75" t="s">
        <v>441</v>
      </c>
      <c r="B349" s="74">
        <v>762725</v>
      </c>
      <c r="C349" s="74">
        <v>580938</v>
      </c>
      <c r="D349" s="74"/>
      <c r="E349" s="74"/>
      <c r="F349" s="74"/>
      <c r="G349" s="69"/>
      <c r="H349" s="69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1"/>
      <c r="V349" s="14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5">
      <c r="A350" s="75" t="s">
        <v>442</v>
      </c>
      <c r="B350" s="74">
        <v>1394957</v>
      </c>
      <c r="C350" s="74">
        <v>864275</v>
      </c>
      <c r="D350" s="74"/>
      <c r="E350" s="74"/>
      <c r="F350" s="74"/>
      <c r="G350" s="69"/>
      <c r="H350" s="69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1"/>
    </row>
    <row r="351" spans="1:35">
      <c r="A351" s="75" t="s">
        <v>443</v>
      </c>
      <c r="B351" s="74">
        <v>3084229</v>
      </c>
      <c r="C351" s="74">
        <v>2291291</v>
      </c>
      <c r="D351" s="74"/>
      <c r="E351" s="74"/>
      <c r="F351" s="74"/>
      <c r="G351" s="69"/>
      <c r="H351" s="69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1"/>
    </row>
    <row r="352" spans="1:35">
      <c r="A352" s="75" t="s">
        <v>444</v>
      </c>
      <c r="B352" s="74">
        <v>1402824</v>
      </c>
      <c r="C352" s="74">
        <v>827236</v>
      </c>
      <c r="D352" s="74"/>
      <c r="E352" s="74"/>
      <c r="F352" s="74"/>
      <c r="G352" s="69"/>
      <c r="H352" s="69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1"/>
    </row>
    <row r="353" spans="1:22">
      <c r="A353" s="75" t="s">
        <v>445</v>
      </c>
      <c r="B353" s="74">
        <v>1138065</v>
      </c>
      <c r="C353" s="74">
        <v>1141040</v>
      </c>
      <c r="D353" s="74"/>
      <c r="E353" s="74"/>
      <c r="F353" s="74"/>
      <c r="G353" s="69"/>
      <c r="H353" s="69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1"/>
    </row>
    <row r="354" spans="1:22">
      <c r="A354" s="75" t="s">
        <v>446</v>
      </c>
      <c r="B354" s="74">
        <v>2123851</v>
      </c>
      <c r="C354" s="74">
        <v>2929225</v>
      </c>
      <c r="D354" s="74"/>
      <c r="E354" s="74"/>
      <c r="F354" s="74"/>
      <c r="G354" s="69"/>
      <c r="H354" s="69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1"/>
    </row>
    <row r="355" spans="1:22">
      <c r="A355" s="75" t="s">
        <v>447</v>
      </c>
      <c r="B355" s="74">
        <v>1156957</v>
      </c>
      <c r="C355" s="74">
        <v>1092163</v>
      </c>
      <c r="D355" s="74"/>
      <c r="E355" s="74"/>
      <c r="F355" s="74"/>
      <c r="G355" s="69"/>
      <c r="H355" s="69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1"/>
    </row>
    <row r="356" spans="1:22">
      <c r="A356" s="75" t="s">
        <v>448</v>
      </c>
      <c r="B356" s="74">
        <v>2439655</v>
      </c>
      <c r="C356" s="74">
        <v>1609148</v>
      </c>
      <c r="D356" s="74"/>
      <c r="E356" s="74"/>
      <c r="F356" s="74"/>
      <c r="G356" s="69"/>
      <c r="H356" s="69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1"/>
    </row>
    <row r="357" spans="1:22">
      <c r="A357" s="75" t="s">
        <v>449</v>
      </c>
      <c r="B357" s="74">
        <v>225953</v>
      </c>
      <c r="C357" s="74">
        <v>221130</v>
      </c>
      <c r="D357" s="74"/>
      <c r="E357" s="74"/>
      <c r="F357" s="74"/>
      <c r="G357" s="69"/>
      <c r="H357" s="69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1"/>
    </row>
    <row r="358" spans="1:22">
      <c r="A358" s="75" t="s">
        <v>279</v>
      </c>
      <c r="B358" s="74">
        <v>452598</v>
      </c>
      <c r="C358" s="74">
        <v>254183</v>
      </c>
      <c r="D358" s="74"/>
      <c r="E358" s="74"/>
      <c r="F358" s="74"/>
      <c r="G358" s="69"/>
      <c r="H358" s="69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1"/>
    </row>
    <row r="359" ht="16.25" spans="1:22">
      <c r="A359" s="75"/>
      <c r="B359" s="77">
        <f>SUM(B345:B358)</f>
        <v>21535329</v>
      </c>
      <c r="C359" s="77">
        <f>SUM(C345:C358)</f>
        <v>19751084</v>
      </c>
      <c r="D359" s="74"/>
      <c r="E359" s="74"/>
      <c r="F359" s="74"/>
      <c r="G359" s="69"/>
      <c r="H359" s="69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1"/>
    </row>
    <row r="360" ht="16.25" spans="1:22">
      <c r="A360" s="75"/>
      <c r="B360" s="74"/>
      <c r="C360" s="74"/>
      <c r="D360" s="74"/>
      <c r="E360" s="74"/>
      <c r="F360" s="74"/>
      <c r="G360" s="69"/>
      <c r="H360" s="69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1"/>
    </row>
    <row r="361" spans="1:22">
      <c r="A361" s="72" t="s">
        <v>450</v>
      </c>
      <c r="B361" s="74"/>
      <c r="C361" s="74"/>
      <c r="D361" s="74"/>
      <c r="E361" s="74"/>
      <c r="F361" s="74"/>
      <c r="G361" s="69"/>
      <c r="H361" s="69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1"/>
    </row>
    <row r="362" spans="1:22">
      <c r="A362" s="72" t="s">
        <v>451</v>
      </c>
      <c r="B362" s="12">
        <v>2024</v>
      </c>
      <c r="C362" s="12">
        <v>2023</v>
      </c>
      <c r="D362" s="74"/>
      <c r="E362" s="74"/>
      <c r="F362" s="74"/>
      <c r="G362" s="69"/>
      <c r="H362" s="69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1"/>
    </row>
    <row r="363" spans="1:22">
      <c r="A363" s="72"/>
      <c r="B363" s="15" t="s">
        <v>52</v>
      </c>
      <c r="C363" s="15"/>
      <c r="D363" s="74"/>
      <c r="E363" s="74"/>
      <c r="F363" s="74"/>
      <c r="G363" s="69"/>
      <c r="H363" s="69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1"/>
    </row>
    <row r="364" spans="1:22">
      <c r="A364" s="75" t="s">
        <v>452</v>
      </c>
      <c r="B364" s="74">
        <v>42557633</v>
      </c>
      <c r="C364" s="74">
        <v>611856</v>
      </c>
      <c r="D364" s="74"/>
      <c r="E364" s="74"/>
      <c r="F364" s="74"/>
      <c r="G364" s="69"/>
      <c r="H364" s="69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T364" s="4"/>
      <c r="V364"/>
    </row>
    <row r="365" spans="1:22">
      <c r="A365" s="75" t="s">
        <v>453</v>
      </c>
      <c r="B365" s="74">
        <v>35068</v>
      </c>
      <c r="C365" s="74">
        <v>-79074</v>
      </c>
      <c r="D365" s="74"/>
      <c r="E365" s="74"/>
      <c r="F365" s="74"/>
      <c r="G365" s="69"/>
      <c r="H365" s="69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T365" s="4"/>
      <c r="V365"/>
    </row>
    <row r="366" ht="16.25" spans="1:22">
      <c r="A366" s="75"/>
      <c r="B366" s="77">
        <f>B364+B365</f>
        <v>42592701</v>
      </c>
      <c r="C366" s="77">
        <f>C364+C365</f>
        <v>532782</v>
      </c>
      <c r="D366" s="74"/>
      <c r="E366" s="74"/>
      <c r="F366" s="74"/>
      <c r="G366" s="69"/>
      <c r="H366" s="69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T366" s="4"/>
      <c r="V366"/>
    </row>
    <row r="367" ht="16.25" spans="1:22">
      <c r="A367" s="72" t="s">
        <v>454</v>
      </c>
      <c r="B367" s="74"/>
      <c r="C367" s="74"/>
      <c r="D367" s="74"/>
      <c r="E367" s="74"/>
      <c r="F367" s="74"/>
      <c r="G367" s="69"/>
      <c r="H367" s="69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T367" s="4"/>
      <c r="V367"/>
    </row>
    <row r="368" spans="1:22">
      <c r="A368" s="72" t="s">
        <v>455</v>
      </c>
      <c r="B368" s="12">
        <v>2024</v>
      </c>
      <c r="C368" s="12">
        <v>2023</v>
      </c>
      <c r="D368" s="74"/>
      <c r="E368" s="74"/>
      <c r="F368" s="74"/>
      <c r="G368" s="69"/>
      <c r="H368" s="69"/>
      <c r="I368" s="78"/>
      <c r="J368" s="78"/>
      <c r="K368" s="78"/>
      <c r="L368" s="78"/>
      <c r="M368" s="78"/>
      <c r="N368" s="78"/>
      <c r="O368" s="78"/>
      <c r="P368" s="78"/>
      <c r="Q368" s="78"/>
      <c r="R368" s="78"/>
    </row>
    <row r="369" spans="1:18">
      <c r="A369" s="72"/>
      <c r="B369" s="15" t="s">
        <v>52</v>
      </c>
      <c r="C369" s="15"/>
      <c r="D369" s="74"/>
      <c r="E369" s="74"/>
      <c r="F369" s="74"/>
      <c r="G369" s="69"/>
      <c r="H369" s="69"/>
      <c r="I369" s="78"/>
      <c r="J369" s="78"/>
      <c r="K369" s="78"/>
      <c r="L369" s="78"/>
      <c r="M369" s="78"/>
      <c r="N369" s="78"/>
      <c r="O369" s="78"/>
      <c r="P369" s="78"/>
      <c r="Q369" s="78"/>
      <c r="R369" s="78"/>
    </row>
    <row r="370" spans="1:18">
      <c r="A370" s="75" t="s">
        <v>456</v>
      </c>
      <c r="B370" s="74">
        <v>816979</v>
      </c>
      <c r="C370" s="74">
        <v>902627</v>
      </c>
      <c r="D370" s="74"/>
      <c r="E370" s="74"/>
      <c r="F370" s="74"/>
      <c r="G370" s="69"/>
      <c r="H370" s="69"/>
      <c r="I370" s="78"/>
      <c r="J370" s="78"/>
      <c r="K370" s="78"/>
      <c r="L370" s="78"/>
      <c r="M370" s="78"/>
      <c r="N370" s="78"/>
      <c r="O370" s="78"/>
      <c r="P370" s="78"/>
      <c r="Q370" s="78"/>
      <c r="R370" s="78"/>
    </row>
    <row r="371" spans="1:18">
      <c r="A371" s="75" t="s">
        <v>457</v>
      </c>
      <c r="B371" s="74">
        <v>103842</v>
      </c>
      <c r="C371" s="74">
        <v>151451</v>
      </c>
      <c r="D371" s="74"/>
      <c r="E371" s="74"/>
      <c r="F371" s="74"/>
      <c r="G371" s="69"/>
      <c r="H371" s="69"/>
      <c r="I371" s="78"/>
      <c r="J371" s="78"/>
      <c r="K371" s="78"/>
      <c r="L371" s="78"/>
      <c r="M371" s="78"/>
      <c r="N371" s="78"/>
      <c r="O371" s="78"/>
      <c r="P371" s="78"/>
      <c r="Q371" s="78"/>
      <c r="R371" s="78"/>
    </row>
    <row r="372" spans="1:18">
      <c r="A372" s="75" t="s">
        <v>458</v>
      </c>
      <c r="B372" s="74">
        <v>234287</v>
      </c>
      <c r="C372" s="74">
        <v>487633</v>
      </c>
      <c r="D372" s="74"/>
      <c r="E372" s="74"/>
      <c r="F372" s="74"/>
      <c r="G372" s="69"/>
      <c r="H372" s="69"/>
      <c r="I372" s="78"/>
      <c r="J372" s="78"/>
      <c r="K372" s="78"/>
      <c r="L372" s="78"/>
      <c r="M372" s="78"/>
      <c r="N372" s="78"/>
      <c r="O372" s="78"/>
      <c r="P372" s="78"/>
      <c r="Q372" s="78"/>
      <c r="R372" s="78"/>
    </row>
    <row r="373" spans="1:18">
      <c r="A373" s="75" t="s">
        <v>187</v>
      </c>
      <c r="B373" s="74">
        <v>1016</v>
      </c>
      <c r="C373" s="74">
        <v>2068</v>
      </c>
      <c r="D373" s="74"/>
      <c r="E373" s="74"/>
      <c r="F373" s="74"/>
      <c r="G373" s="69"/>
      <c r="H373" s="69"/>
      <c r="I373" s="78"/>
      <c r="J373" s="78"/>
      <c r="K373" s="78"/>
      <c r="L373" s="78"/>
      <c r="M373" s="78"/>
      <c r="N373" s="78"/>
      <c r="O373" s="78"/>
      <c r="P373" s="78"/>
      <c r="Q373" s="78"/>
      <c r="R373" s="78"/>
    </row>
    <row r="374" spans="1:18">
      <c r="A374" s="75" t="s">
        <v>459</v>
      </c>
      <c r="B374" s="74">
        <v>-16549</v>
      </c>
      <c r="C374" s="74">
        <v>-20670</v>
      </c>
      <c r="D374" s="74"/>
      <c r="E374" s="74"/>
      <c r="F374" s="74"/>
      <c r="G374" s="69"/>
      <c r="H374" s="69"/>
      <c r="I374" s="78"/>
      <c r="J374" s="78"/>
      <c r="K374" s="78"/>
      <c r="L374" s="78"/>
      <c r="M374" s="78"/>
      <c r="N374" s="78"/>
      <c r="O374" s="78"/>
      <c r="P374" s="78"/>
      <c r="Q374" s="78"/>
      <c r="R374" s="78"/>
    </row>
    <row r="375" ht="16.25" spans="1:18">
      <c r="A375" s="75"/>
      <c r="B375" s="77">
        <f>SUM(B370:B374)</f>
        <v>1139575</v>
      </c>
      <c r="C375" s="77">
        <f>SUM(C370:C374)</f>
        <v>1523109</v>
      </c>
      <c r="D375" s="74"/>
      <c r="E375" s="74"/>
      <c r="F375" s="74"/>
      <c r="G375" s="69"/>
      <c r="H375" s="69"/>
      <c r="I375" s="78"/>
      <c r="J375" s="78"/>
      <c r="K375" s="78"/>
      <c r="L375" s="78"/>
      <c r="M375" s="78"/>
      <c r="N375" s="78"/>
      <c r="O375" s="78"/>
      <c r="P375" s="78"/>
      <c r="Q375" s="78"/>
      <c r="R375" s="78"/>
    </row>
    <row r="376" ht="16.25" spans="1:18">
      <c r="A376" s="72" t="s">
        <v>460</v>
      </c>
      <c r="B376" s="74"/>
      <c r="C376" s="74"/>
      <c r="D376" s="74"/>
      <c r="E376" s="74"/>
      <c r="F376" s="74"/>
      <c r="G376" s="69"/>
      <c r="H376" s="69"/>
      <c r="I376" s="78"/>
      <c r="J376" s="78"/>
      <c r="K376" s="78"/>
      <c r="L376" s="78"/>
      <c r="M376" s="78"/>
      <c r="N376" s="78"/>
      <c r="O376" s="78"/>
      <c r="P376" s="78"/>
      <c r="Q376" s="78"/>
      <c r="R376" s="78"/>
    </row>
    <row r="377" spans="1:18">
      <c r="A377" s="72" t="s">
        <v>461</v>
      </c>
      <c r="B377" s="12">
        <v>2024</v>
      </c>
      <c r="C377" s="12">
        <v>2023</v>
      </c>
      <c r="D377" s="74"/>
      <c r="E377" s="74"/>
      <c r="F377" s="74"/>
      <c r="G377" s="69"/>
      <c r="H377" s="69"/>
      <c r="I377" s="78"/>
      <c r="J377" s="78"/>
      <c r="K377" s="78"/>
      <c r="L377" s="78"/>
      <c r="M377" s="78"/>
      <c r="N377" s="78"/>
      <c r="O377" s="78"/>
      <c r="P377" s="78"/>
      <c r="Q377" s="78"/>
      <c r="R377" s="78"/>
    </row>
    <row r="378" spans="1:18">
      <c r="A378" s="72"/>
      <c r="B378" s="15" t="s">
        <v>52</v>
      </c>
      <c r="C378" s="15"/>
      <c r="D378" s="74"/>
      <c r="E378" s="74"/>
      <c r="F378" s="74"/>
      <c r="G378" s="69"/>
      <c r="H378" s="69"/>
      <c r="I378" s="78"/>
      <c r="J378" s="78"/>
      <c r="K378" s="78"/>
      <c r="L378" s="78"/>
      <c r="M378" s="78"/>
      <c r="N378" s="78"/>
      <c r="O378" s="78"/>
      <c r="P378" s="78"/>
      <c r="Q378" s="78"/>
      <c r="R378" s="78"/>
    </row>
    <row r="379" spans="1:18">
      <c r="A379" s="75" t="s">
        <v>462</v>
      </c>
      <c r="B379" s="74">
        <v>38899310</v>
      </c>
      <c r="C379" s="74">
        <v>26983718</v>
      </c>
      <c r="D379" s="74"/>
      <c r="E379" s="74"/>
      <c r="F379" s="74"/>
      <c r="G379" s="69"/>
      <c r="H379" s="69"/>
      <c r="I379" s="78"/>
      <c r="J379" s="78"/>
      <c r="K379" s="78"/>
      <c r="L379" s="78"/>
      <c r="M379" s="78"/>
      <c r="N379" s="78"/>
      <c r="O379" s="78"/>
      <c r="P379" s="78"/>
      <c r="Q379" s="78"/>
      <c r="R379" s="78"/>
    </row>
    <row r="380" spans="1:18">
      <c r="A380" s="72" t="s">
        <v>463</v>
      </c>
      <c r="B380" s="74"/>
      <c r="C380" s="74"/>
      <c r="D380" s="74"/>
      <c r="E380" s="74"/>
      <c r="F380" s="74"/>
      <c r="G380" s="69"/>
      <c r="H380" s="69"/>
      <c r="I380" s="78"/>
      <c r="J380" s="78"/>
      <c r="K380" s="78"/>
      <c r="L380" s="78"/>
      <c r="M380" s="78"/>
      <c r="N380" s="78"/>
      <c r="O380" s="78"/>
      <c r="P380" s="78"/>
      <c r="Q380" s="78"/>
      <c r="R380" s="78"/>
    </row>
    <row r="381" spans="1:18">
      <c r="A381" s="75" t="s">
        <v>464</v>
      </c>
      <c r="B381" s="79">
        <v>1927944</v>
      </c>
      <c r="C381" s="80">
        <v>1606540</v>
      </c>
      <c r="D381" s="74"/>
      <c r="E381" s="74"/>
      <c r="F381" s="74"/>
      <c r="G381" s="69"/>
      <c r="H381" s="69"/>
      <c r="I381" s="78"/>
      <c r="J381" s="78"/>
      <c r="K381" s="78"/>
      <c r="L381" s="78"/>
      <c r="M381" s="78"/>
      <c r="N381" s="78"/>
      <c r="O381" s="78"/>
      <c r="P381" s="78"/>
      <c r="Q381" s="78"/>
      <c r="R381" s="78"/>
    </row>
    <row r="382" spans="1:18">
      <c r="A382" s="75" t="s">
        <v>465</v>
      </c>
      <c r="B382" s="81">
        <v>314169</v>
      </c>
      <c r="C382" s="82">
        <v>287379</v>
      </c>
      <c r="D382" s="74"/>
      <c r="E382" s="74"/>
      <c r="F382" s="74"/>
      <c r="G382" s="69"/>
      <c r="H382" s="69"/>
      <c r="I382" s="78"/>
      <c r="J382" s="78"/>
      <c r="K382" s="78"/>
      <c r="L382" s="78"/>
      <c r="M382" s="78"/>
      <c r="N382" s="78"/>
      <c r="O382" s="78"/>
      <c r="P382" s="78"/>
      <c r="Q382" s="78"/>
      <c r="R382" s="78"/>
    </row>
    <row r="383" spans="1:18">
      <c r="A383" s="75" t="s">
        <v>466</v>
      </c>
      <c r="B383" s="81">
        <v>3538003</v>
      </c>
      <c r="C383" s="82">
        <v>2784703</v>
      </c>
      <c r="D383" s="74"/>
      <c r="E383" s="74"/>
      <c r="F383" s="74"/>
      <c r="G383" s="69"/>
      <c r="H383" s="69"/>
      <c r="I383" s="78"/>
      <c r="J383" s="78"/>
      <c r="K383" s="78"/>
      <c r="L383" s="78"/>
      <c r="M383" s="78"/>
      <c r="N383" s="78"/>
      <c r="O383" s="78"/>
      <c r="P383" s="78"/>
      <c r="Q383" s="78"/>
      <c r="R383" s="78"/>
    </row>
    <row r="384" spans="1:18">
      <c r="A384" s="75" t="s">
        <v>467</v>
      </c>
      <c r="B384" s="81">
        <v>1926205</v>
      </c>
      <c r="C384" s="82">
        <v>1468175</v>
      </c>
      <c r="D384" s="74"/>
      <c r="E384" s="74"/>
      <c r="F384" s="74"/>
      <c r="G384" s="69"/>
      <c r="H384" s="69"/>
      <c r="I384" s="78"/>
      <c r="J384" s="78"/>
      <c r="K384" s="78"/>
      <c r="L384" s="78"/>
      <c r="M384" s="78"/>
      <c r="N384" s="78"/>
      <c r="O384" s="78"/>
      <c r="P384" s="78"/>
      <c r="Q384" s="78"/>
      <c r="R384" s="78"/>
    </row>
    <row r="385" spans="1:18">
      <c r="A385" s="75" t="s">
        <v>468</v>
      </c>
      <c r="B385" s="81">
        <v>516998</v>
      </c>
      <c r="C385" s="82">
        <v>494547</v>
      </c>
      <c r="D385" s="74"/>
      <c r="E385" s="74"/>
      <c r="F385" s="74"/>
      <c r="G385" s="69"/>
      <c r="H385" s="69"/>
      <c r="I385" s="78"/>
      <c r="J385" s="78"/>
      <c r="K385" s="78"/>
      <c r="L385" s="78"/>
      <c r="M385" s="78"/>
      <c r="N385" s="78"/>
      <c r="O385" s="78"/>
      <c r="P385" s="78"/>
      <c r="Q385" s="78"/>
      <c r="R385" s="78"/>
    </row>
    <row r="386" spans="1:18">
      <c r="A386" s="75" t="s">
        <v>469</v>
      </c>
      <c r="B386" s="81">
        <v>1406529</v>
      </c>
      <c r="C386" s="82">
        <v>1295782</v>
      </c>
      <c r="D386" s="74"/>
      <c r="E386" s="74"/>
      <c r="F386" s="74"/>
      <c r="G386" s="69"/>
      <c r="H386" s="69"/>
      <c r="I386" s="78"/>
      <c r="J386" s="78"/>
      <c r="K386" s="78"/>
      <c r="L386" s="78"/>
      <c r="M386" s="78"/>
      <c r="N386" s="78"/>
      <c r="O386" s="78"/>
      <c r="P386" s="78"/>
      <c r="Q386" s="78"/>
      <c r="R386" s="78"/>
    </row>
    <row r="387" spans="1:18">
      <c r="A387" s="75" t="s">
        <v>470</v>
      </c>
      <c r="B387" s="81">
        <v>2520644</v>
      </c>
      <c r="C387" s="82">
        <v>2336379</v>
      </c>
      <c r="D387" s="74"/>
      <c r="E387" s="74"/>
      <c r="F387" s="74"/>
      <c r="G387" s="69"/>
      <c r="H387" s="69"/>
      <c r="I387" s="78"/>
      <c r="J387" s="78"/>
      <c r="K387" s="78"/>
      <c r="L387" s="78"/>
      <c r="M387" s="78"/>
      <c r="N387" s="78"/>
      <c r="O387" s="78"/>
      <c r="P387" s="78"/>
      <c r="Q387" s="78"/>
      <c r="R387" s="78"/>
    </row>
    <row r="388" spans="1:18">
      <c r="A388" s="75" t="s">
        <v>176</v>
      </c>
      <c r="B388" s="81">
        <v>3226</v>
      </c>
      <c r="C388" s="82">
        <v>3012</v>
      </c>
      <c r="D388" s="74"/>
      <c r="E388" s="74"/>
      <c r="F388" s="74"/>
      <c r="G388" s="69"/>
      <c r="H388" s="69"/>
      <c r="I388" s="78"/>
      <c r="J388" s="78"/>
      <c r="K388" s="78"/>
      <c r="L388" s="78"/>
      <c r="M388" s="78"/>
      <c r="N388" s="78"/>
      <c r="O388" s="78"/>
      <c r="P388" s="78"/>
      <c r="Q388" s="78"/>
      <c r="R388" s="78"/>
    </row>
    <row r="389" spans="1:18">
      <c r="A389" s="75" t="s">
        <v>279</v>
      </c>
      <c r="B389" s="83">
        <v>41935</v>
      </c>
      <c r="C389" s="84">
        <v>47972</v>
      </c>
      <c r="D389" s="74"/>
      <c r="E389" s="74"/>
      <c r="F389" s="74"/>
      <c r="G389" s="69"/>
      <c r="H389" s="69"/>
      <c r="I389" s="78"/>
      <c r="J389" s="78"/>
      <c r="K389" s="78"/>
      <c r="L389" s="78"/>
      <c r="M389" s="78"/>
      <c r="N389" s="78"/>
      <c r="O389" s="78"/>
      <c r="P389" s="78"/>
      <c r="Q389" s="78"/>
      <c r="R389" s="78"/>
    </row>
    <row r="390" spans="1:18">
      <c r="A390" s="75"/>
      <c r="B390" s="74">
        <f>SUM(B381:B389)</f>
        <v>12195653</v>
      </c>
      <c r="C390" s="74">
        <f>SUM(C381:C389)</f>
        <v>10324489</v>
      </c>
      <c r="D390" s="74"/>
      <c r="E390" s="74"/>
      <c r="F390" s="74"/>
      <c r="G390" s="69"/>
      <c r="H390" s="69"/>
      <c r="I390" s="78"/>
      <c r="J390" s="78"/>
      <c r="K390" s="78"/>
      <c r="L390" s="78"/>
      <c r="M390" s="78"/>
      <c r="N390" s="78"/>
      <c r="O390" s="78"/>
      <c r="P390" s="78"/>
      <c r="Q390" s="78"/>
      <c r="R390" s="78"/>
    </row>
    <row r="391" spans="1:18">
      <c r="A391" s="72" t="s">
        <v>471</v>
      </c>
      <c r="B391" s="74"/>
      <c r="C391" s="74"/>
      <c r="D391" s="74"/>
      <c r="E391" s="74"/>
      <c r="F391" s="74"/>
      <c r="G391" s="69"/>
      <c r="H391" s="69"/>
      <c r="I391" s="78"/>
      <c r="J391" s="78"/>
      <c r="K391" s="78"/>
      <c r="L391" s="78"/>
      <c r="M391" s="78"/>
      <c r="N391" s="78"/>
      <c r="O391" s="78"/>
      <c r="P391" s="78"/>
      <c r="Q391" s="78"/>
      <c r="R391" s="78"/>
    </row>
    <row r="392" spans="1:18">
      <c r="A392" s="75" t="s">
        <v>472</v>
      </c>
      <c r="B392" s="79">
        <v>3818763</v>
      </c>
      <c r="C392" s="80">
        <v>3021763</v>
      </c>
      <c r="D392" s="74"/>
      <c r="E392" s="74"/>
      <c r="F392" s="74"/>
      <c r="G392" s="69"/>
      <c r="H392" s="69"/>
      <c r="I392" s="78"/>
      <c r="J392" s="78"/>
      <c r="K392" s="78"/>
      <c r="L392" s="78"/>
      <c r="M392" s="78"/>
      <c r="N392" s="78"/>
      <c r="O392" s="78"/>
      <c r="P392" s="78"/>
      <c r="Q392" s="78"/>
      <c r="R392" s="78"/>
    </row>
    <row r="393" spans="1:18">
      <c r="A393" s="75" t="s">
        <v>473</v>
      </c>
      <c r="B393" s="81">
        <v>552685</v>
      </c>
      <c r="C393" s="82">
        <v>1116217</v>
      </c>
      <c r="D393" s="74"/>
      <c r="E393" s="74"/>
      <c r="F393" s="74"/>
      <c r="G393" s="69"/>
      <c r="H393" s="69"/>
      <c r="I393" s="78"/>
      <c r="J393" s="78"/>
      <c r="K393" s="78"/>
      <c r="L393" s="78"/>
      <c r="M393" s="78"/>
      <c r="N393" s="78"/>
      <c r="O393" s="78"/>
      <c r="P393" s="78"/>
      <c r="Q393" s="78"/>
      <c r="R393" s="78"/>
    </row>
    <row r="394" spans="1:18">
      <c r="A394" s="75" t="s">
        <v>469</v>
      </c>
      <c r="B394" s="81">
        <v>1914815</v>
      </c>
      <c r="C394" s="82">
        <v>1482954</v>
      </c>
      <c r="D394" s="74"/>
      <c r="E394" s="74"/>
      <c r="F394" s="74"/>
      <c r="G394" s="69"/>
      <c r="H394" s="69"/>
      <c r="I394" s="78"/>
      <c r="J394" s="78"/>
      <c r="K394" s="78"/>
      <c r="L394" s="78"/>
      <c r="M394" s="78"/>
      <c r="N394" s="78"/>
      <c r="O394" s="78"/>
      <c r="P394" s="78"/>
      <c r="Q394" s="78"/>
      <c r="R394" s="78"/>
    </row>
    <row r="395" spans="1:18">
      <c r="A395" s="75" t="s">
        <v>178</v>
      </c>
      <c r="B395" s="81">
        <v>1022553</v>
      </c>
      <c r="C395" s="82">
        <v>1085264</v>
      </c>
      <c r="D395" s="74"/>
      <c r="E395" s="74"/>
      <c r="F395" s="74"/>
      <c r="G395" s="69"/>
      <c r="H395" s="69"/>
      <c r="I395" s="78"/>
      <c r="J395" s="78"/>
      <c r="K395" s="78"/>
      <c r="L395" s="78"/>
      <c r="M395" s="78"/>
      <c r="N395" s="78"/>
      <c r="O395" s="78"/>
      <c r="P395" s="78"/>
      <c r="Q395" s="78"/>
      <c r="R395" s="78"/>
    </row>
    <row r="396" spans="1:18">
      <c r="A396" s="75" t="s">
        <v>474</v>
      </c>
      <c r="B396" s="81">
        <v>1098339</v>
      </c>
      <c r="C396" s="82">
        <v>1053202</v>
      </c>
      <c r="D396" s="74"/>
      <c r="E396" s="74"/>
      <c r="F396" s="74"/>
      <c r="G396" s="69"/>
      <c r="H396" s="69"/>
      <c r="I396" s="78"/>
      <c r="J396" s="78"/>
      <c r="K396" s="78"/>
      <c r="L396" s="78"/>
      <c r="M396" s="78"/>
      <c r="N396" s="78"/>
      <c r="O396" s="78"/>
      <c r="P396" s="78"/>
      <c r="Q396" s="78"/>
      <c r="R396" s="78"/>
    </row>
    <row r="397" spans="1:18">
      <c r="A397" s="75" t="s">
        <v>475</v>
      </c>
      <c r="B397" s="83">
        <v>504872</v>
      </c>
      <c r="C397" s="84">
        <v>305965</v>
      </c>
      <c r="D397" s="74"/>
      <c r="E397" s="74"/>
      <c r="F397" s="74"/>
      <c r="G397" s="69"/>
      <c r="H397" s="69"/>
      <c r="I397" s="78"/>
      <c r="J397" s="78"/>
      <c r="K397" s="78"/>
      <c r="L397" s="78"/>
      <c r="M397" s="78"/>
      <c r="N397" s="78"/>
      <c r="O397" s="78"/>
      <c r="P397" s="78"/>
      <c r="Q397" s="78"/>
      <c r="R397" s="78"/>
    </row>
    <row r="398" spans="1:18">
      <c r="A398" s="75"/>
      <c r="B398" s="74">
        <f>SUM(B392:B397)</f>
        <v>8912027</v>
      </c>
      <c r="C398" s="74">
        <f>SUM(C392:C397)</f>
        <v>8065365</v>
      </c>
      <c r="D398" s="74"/>
      <c r="E398" s="74"/>
      <c r="F398" s="74"/>
      <c r="G398" s="69"/>
      <c r="H398" s="69"/>
      <c r="I398" s="78"/>
      <c r="J398" s="78"/>
      <c r="K398" s="78"/>
      <c r="L398" s="78"/>
      <c r="M398" s="78"/>
      <c r="N398" s="78"/>
      <c r="O398" s="78"/>
      <c r="P398" s="78"/>
      <c r="Q398" s="78"/>
      <c r="R398" s="78"/>
    </row>
    <row r="399" spans="1:18">
      <c r="A399" s="72" t="s">
        <v>476</v>
      </c>
      <c r="B399" s="74"/>
      <c r="C399" s="74"/>
      <c r="D399" s="74"/>
      <c r="E399" s="74"/>
      <c r="F399" s="74"/>
      <c r="G399" s="69"/>
      <c r="H399" s="69"/>
      <c r="I399" s="78"/>
      <c r="J399" s="78"/>
      <c r="K399" s="78"/>
      <c r="L399" s="78"/>
      <c r="M399" s="78"/>
      <c r="N399" s="78"/>
      <c r="O399" s="78"/>
      <c r="P399" s="78"/>
      <c r="Q399" s="78"/>
      <c r="R399" s="78"/>
    </row>
    <row r="400" spans="1:18">
      <c r="A400" s="75" t="s">
        <v>477</v>
      </c>
      <c r="B400" s="79">
        <v>801994</v>
      </c>
      <c r="C400" s="80">
        <v>1704965</v>
      </c>
      <c r="D400" s="74"/>
      <c r="E400" s="74"/>
      <c r="F400" s="74"/>
      <c r="G400" s="69"/>
      <c r="H400" s="69"/>
      <c r="I400" s="78"/>
      <c r="J400" s="78"/>
      <c r="K400" s="78"/>
      <c r="L400" s="78"/>
      <c r="M400" s="78"/>
      <c r="N400" s="78"/>
      <c r="O400" s="78"/>
      <c r="P400" s="78"/>
      <c r="Q400" s="78"/>
      <c r="R400" s="78"/>
    </row>
    <row r="401" spans="1:18">
      <c r="A401" s="75" t="s">
        <v>478</v>
      </c>
      <c r="B401" s="81">
        <v>577308</v>
      </c>
      <c r="C401" s="82">
        <v>316786</v>
      </c>
      <c r="D401" s="74"/>
      <c r="E401" s="74"/>
      <c r="F401" s="74"/>
      <c r="G401" s="69"/>
      <c r="H401" s="69"/>
      <c r="I401" s="78"/>
      <c r="J401" s="78"/>
      <c r="K401" s="78"/>
      <c r="L401" s="78"/>
      <c r="M401" s="78"/>
      <c r="N401" s="78"/>
      <c r="O401" s="78"/>
      <c r="P401" s="78"/>
      <c r="Q401" s="78"/>
      <c r="R401" s="78"/>
    </row>
    <row r="402" spans="1:18">
      <c r="A402" s="75" t="s">
        <v>479</v>
      </c>
      <c r="B402" s="81">
        <v>5055630</v>
      </c>
      <c r="C402" s="82">
        <v>2182164</v>
      </c>
      <c r="D402" s="74"/>
      <c r="E402" s="74"/>
      <c r="F402" s="74"/>
      <c r="G402" s="69"/>
      <c r="H402" s="69"/>
      <c r="I402" s="78"/>
      <c r="J402" s="78"/>
      <c r="K402" s="78"/>
      <c r="L402" s="78"/>
      <c r="M402" s="78"/>
      <c r="N402" s="78"/>
      <c r="O402" s="78"/>
      <c r="P402" s="78"/>
      <c r="Q402" s="78"/>
      <c r="R402" s="78"/>
    </row>
    <row r="403" spans="1:18">
      <c r="A403" s="75" t="s">
        <v>480</v>
      </c>
      <c r="B403" s="81">
        <v>2729108</v>
      </c>
      <c r="C403" s="82">
        <v>1964335</v>
      </c>
      <c r="D403" s="74"/>
      <c r="E403" s="74"/>
      <c r="F403" s="74"/>
      <c r="G403" s="69"/>
      <c r="H403" s="69"/>
      <c r="I403" s="78"/>
      <c r="J403" s="78"/>
      <c r="K403" s="78"/>
      <c r="L403" s="78"/>
      <c r="M403" s="78"/>
      <c r="N403" s="78"/>
      <c r="O403" s="78"/>
      <c r="P403" s="78"/>
      <c r="Q403" s="78"/>
      <c r="R403" s="78"/>
    </row>
    <row r="404" spans="1:18">
      <c r="A404" s="75" t="s">
        <v>481</v>
      </c>
      <c r="B404" s="81">
        <v>315123</v>
      </c>
      <c r="C404" s="82">
        <v>311194</v>
      </c>
      <c r="D404" s="74"/>
      <c r="E404" s="74"/>
      <c r="F404" s="74"/>
      <c r="G404" s="69"/>
      <c r="H404" s="69"/>
      <c r="I404" s="78"/>
      <c r="J404" s="78"/>
      <c r="K404" s="78"/>
      <c r="L404" s="78"/>
      <c r="M404" s="78"/>
      <c r="N404" s="78"/>
      <c r="O404" s="78"/>
      <c r="P404" s="78"/>
      <c r="Q404" s="78"/>
      <c r="R404" s="78"/>
    </row>
    <row r="405" spans="1:18">
      <c r="A405" s="75" t="s">
        <v>482</v>
      </c>
      <c r="B405" s="81">
        <v>362669</v>
      </c>
      <c r="C405" s="82">
        <v>282571</v>
      </c>
      <c r="D405" s="74"/>
      <c r="E405" s="74"/>
      <c r="F405" s="74"/>
      <c r="G405" s="69"/>
      <c r="H405" s="69"/>
      <c r="I405" s="78"/>
      <c r="J405" s="78"/>
      <c r="K405" s="78"/>
      <c r="L405" s="78"/>
      <c r="M405" s="78"/>
      <c r="N405" s="78"/>
      <c r="O405" s="78"/>
      <c r="P405" s="78"/>
      <c r="Q405" s="78"/>
      <c r="R405" s="78"/>
    </row>
    <row r="406" spans="1:18">
      <c r="A406" s="75" t="s">
        <v>469</v>
      </c>
      <c r="B406" s="81">
        <v>2527874</v>
      </c>
      <c r="C406" s="82">
        <v>1745848</v>
      </c>
      <c r="D406" s="74"/>
      <c r="E406" s="74"/>
      <c r="F406" s="74"/>
      <c r="G406" s="69"/>
      <c r="H406" s="69"/>
      <c r="I406" s="78"/>
      <c r="J406" s="78"/>
      <c r="K406" s="78"/>
      <c r="L406" s="78"/>
      <c r="M406" s="78"/>
      <c r="N406" s="78"/>
      <c r="O406" s="78"/>
      <c r="P406" s="78"/>
      <c r="Q406" s="78"/>
      <c r="R406" s="78"/>
    </row>
    <row r="407" spans="1:18">
      <c r="A407" s="75" t="s">
        <v>483</v>
      </c>
      <c r="B407" s="81">
        <v>79527</v>
      </c>
      <c r="C407" s="82">
        <v>135236</v>
      </c>
      <c r="D407" s="74"/>
      <c r="E407" s="74"/>
      <c r="F407" s="74"/>
      <c r="G407" s="69"/>
      <c r="H407" s="69"/>
      <c r="I407" s="78"/>
      <c r="J407" s="78"/>
      <c r="K407" s="78"/>
      <c r="L407" s="78"/>
      <c r="M407" s="78"/>
      <c r="N407" s="78"/>
      <c r="O407" s="78"/>
      <c r="P407" s="78"/>
      <c r="Q407" s="78"/>
      <c r="R407" s="78"/>
    </row>
    <row r="408" spans="1:18">
      <c r="A408" s="75" t="s">
        <v>484</v>
      </c>
      <c r="B408" s="81">
        <v>209138</v>
      </c>
      <c r="C408" s="82">
        <v>191600</v>
      </c>
      <c r="D408" s="74"/>
      <c r="E408" s="74"/>
      <c r="F408" s="74"/>
      <c r="G408" s="69"/>
      <c r="H408" s="69"/>
      <c r="I408" s="78"/>
      <c r="J408" s="78"/>
      <c r="K408" s="78"/>
      <c r="L408" s="78"/>
      <c r="M408" s="78"/>
      <c r="N408" s="78"/>
      <c r="O408" s="78"/>
      <c r="P408" s="78"/>
      <c r="Q408" s="78"/>
      <c r="R408" s="78"/>
    </row>
    <row r="409" spans="1:18">
      <c r="A409" s="85" t="s">
        <v>485</v>
      </c>
      <c r="B409" s="86">
        <v>504982</v>
      </c>
      <c r="C409" s="87">
        <v>364494</v>
      </c>
      <c r="D409" s="88"/>
      <c r="E409" s="69"/>
      <c r="F409" s="69"/>
      <c r="G409" s="69"/>
      <c r="H409" s="69"/>
      <c r="I409" s="78"/>
      <c r="J409" s="78"/>
      <c r="K409" s="78"/>
      <c r="L409" s="78"/>
      <c r="M409" s="78"/>
      <c r="N409" s="78"/>
      <c r="O409" s="78"/>
      <c r="P409" s="78"/>
      <c r="Q409" s="78"/>
      <c r="R409" s="78"/>
    </row>
    <row r="410" spans="1:18">
      <c r="A410" s="85" t="s">
        <v>486</v>
      </c>
      <c r="B410" s="86">
        <v>309012</v>
      </c>
      <c r="C410" s="87">
        <v>308144</v>
      </c>
      <c r="D410" s="88"/>
      <c r="E410" s="69"/>
      <c r="F410" s="69"/>
      <c r="G410" s="69"/>
      <c r="H410" s="69"/>
      <c r="I410" s="78"/>
      <c r="J410" s="78"/>
      <c r="K410" s="78"/>
      <c r="L410" s="78"/>
      <c r="M410" s="78"/>
      <c r="N410" s="78"/>
      <c r="O410" s="78"/>
      <c r="P410" s="78"/>
      <c r="Q410" s="78"/>
      <c r="R410" s="78"/>
    </row>
    <row r="411" spans="1:18">
      <c r="A411" s="85" t="s">
        <v>487</v>
      </c>
      <c r="B411" s="86">
        <v>2206558</v>
      </c>
      <c r="C411" s="87">
        <v>1560179</v>
      </c>
      <c r="D411" s="88"/>
      <c r="E411" s="69"/>
      <c r="F411" s="69"/>
      <c r="G411" s="69"/>
      <c r="H411" s="69"/>
      <c r="I411" s="78"/>
      <c r="J411" s="78"/>
      <c r="K411" s="78"/>
      <c r="L411" s="78"/>
      <c r="M411" s="78"/>
      <c r="N411" s="78"/>
      <c r="O411" s="78"/>
      <c r="P411" s="78"/>
      <c r="Q411" s="78"/>
      <c r="R411" s="78"/>
    </row>
    <row r="412" spans="1:18">
      <c r="A412" s="85" t="s">
        <v>488</v>
      </c>
      <c r="B412" s="86">
        <v>4395879</v>
      </c>
      <c r="C412" s="87">
        <v>1238425</v>
      </c>
      <c r="D412" s="88"/>
      <c r="E412" s="69"/>
      <c r="F412" s="69"/>
      <c r="G412" s="69"/>
      <c r="H412" s="69"/>
      <c r="I412" s="78"/>
      <c r="J412" s="78"/>
      <c r="K412" s="78"/>
      <c r="L412" s="78"/>
      <c r="M412" s="78"/>
      <c r="N412" s="78"/>
      <c r="O412" s="78"/>
      <c r="P412" s="78"/>
      <c r="Q412" s="78"/>
      <c r="R412" s="78"/>
    </row>
    <row r="413" spans="1:18">
      <c r="A413" s="85" t="s">
        <v>489</v>
      </c>
      <c r="B413" s="86">
        <v>206064</v>
      </c>
      <c r="C413" s="87">
        <v>62820</v>
      </c>
      <c r="D413" s="88"/>
      <c r="E413" s="69"/>
      <c r="F413" s="69"/>
      <c r="G413" s="69"/>
      <c r="H413" s="69"/>
      <c r="I413" s="78"/>
      <c r="J413" s="78"/>
      <c r="K413" s="78"/>
      <c r="L413" s="78"/>
      <c r="M413" s="78"/>
      <c r="N413" s="78"/>
      <c r="O413" s="78"/>
      <c r="P413" s="78"/>
      <c r="Q413" s="78"/>
      <c r="R413" s="78"/>
    </row>
    <row r="414" spans="1:18">
      <c r="A414" s="85" t="s">
        <v>490</v>
      </c>
      <c r="B414" s="86">
        <v>154746</v>
      </c>
      <c r="C414" s="87">
        <v>229971</v>
      </c>
      <c r="D414" s="88"/>
      <c r="E414" s="69"/>
      <c r="F414" s="69"/>
      <c r="G414" s="69"/>
      <c r="H414" s="69"/>
      <c r="I414" s="78"/>
      <c r="J414" s="78"/>
      <c r="K414" s="78"/>
      <c r="L414" s="78"/>
      <c r="M414" s="78"/>
      <c r="N414" s="78"/>
      <c r="O414" s="78"/>
      <c r="P414" s="78"/>
      <c r="Q414" s="78"/>
      <c r="R414" s="78"/>
    </row>
    <row r="415" spans="1:18">
      <c r="A415" s="85" t="s">
        <v>465</v>
      </c>
      <c r="B415" s="86">
        <v>149516</v>
      </c>
      <c r="C415" s="87">
        <v>164816</v>
      </c>
      <c r="D415" s="88"/>
      <c r="E415" s="69"/>
      <c r="F415" s="69"/>
      <c r="G415" s="69"/>
      <c r="H415" s="69"/>
      <c r="I415" s="78"/>
      <c r="J415" s="78"/>
      <c r="K415" s="78"/>
      <c r="L415" s="78"/>
      <c r="M415" s="78"/>
      <c r="N415" s="78"/>
      <c r="O415" s="78"/>
      <c r="P415" s="78"/>
      <c r="Q415" s="78"/>
      <c r="R415" s="78"/>
    </row>
    <row r="416" spans="1:18">
      <c r="A416" s="85" t="s">
        <v>491</v>
      </c>
      <c r="B416" s="86">
        <v>2202917</v>
      </c>
      <c r="C416" s="87">
        <v>1879217</v>
      </c>
      <c r="D416" s="88"/>
      <c r="E416" s="69"/>
      <c r="F416" s="69"/>
      <c r="G416" s="69"/>
      <c r="H416" s="69"/>
      <c r="I416" s="78"/>
      <c r="J416" s="78"/>
      <c r="K416" s="78"/>
      <c r="L416" s="78"/>
      <c r="M416" s="78"/>
      <c r="N416" s="78"/>
      <c r="O416" s="78"/>
      <c r="P416" s="78"/>
      <c r="Q416" s="78"/>
      <c r="R416" s="78"/>
    </row>
    <row r="417" spans="1:18">
      <c r="A417" s="85" t="s">
        <v>492</v>
      </c>
      <c r="B417" s="86">
        <v>1265657</v>
      </c>
      <c r="C417" s="87">
        <v>1107921</v>
      </c>
      <c r="D417" s="88"/>
      <c r="E417" s="69"/>
      <c r="F417" s="69"/>
      <c r="G417" s="69"/>
      <c r="H417" s="69"/>
      <c r="I417" s="78"/>
      <c r="J417" s="78"/>
      <c r="K417" s="78"/>
      <c r="L417" s="78"/>
      <c r="M417" s="78"/>
      <c r="N417" s="78"/>
      <c r="O417" s="78"/>
      <c r="P417" s="78"/>
      <c r="Q417" s="78"/>
      <c r="R417" s="78"/>
    </row>
    <row r="418" spans="1:18">
      <c r="A418" s="85" t="s">
        <v>493</v>
      </c>
      <c r="B418" s="86">
        <v>455065</v>
      </c>
      <c r="C418" s="87">
        <v>301461</v>
      </c>
      <c r="D418" s="88"/>
      <c r="E418" s="69"/>
      <c r="F418" s="69"/>
      <c r="G418" s="69"/>
      <c r="H418" s="69"/>
      <c r="I418" s="78"/>
      <c r="J418" s="78"/>
      <c r="K418" s="78"/>
      <c r="L418" s="78"/>
      <c r="M418" s="78"/>
      <c r="N418" s="78"/>
      <c r="O418" s="78"/>
      <c r="P418" s="78"/>
      <c r="Q418" s="78"/>
      <c r="R418" s="78"/>
    </row>
    <row r="419" spans="1:18">
      <c r="A419" s="85" t="s">
        <v>494</v>
      </c>
      <c r="B419" s="86">
        <v>612002</v>
      </c>
      <c r="C419" s="87">
        <v>271382</v>
      </c>
      <c r="D419" s="88"/>
      <c r="E419" s="69"/>
      <c r="F419" s="69"/>
      <c r="G419" s="69"/>
      <c r="H419" s="69"/>
      <c r="I419" s="78"/>
      <c r="J419" s="78"/>
      <c r="K419" s="78"/>
      <c r="L419" s="78"/>
      <c r="M419" s="78"/>
      <c r="N419" s="78"/>
      <c r="O419" s="78"/>
      <c r="P419" s="78"/>
      <c r="Q419" s="78"/>
      <c r="R419" s="78"/>
    </row>
    <row r="420" spans="1:18">
      <c r="A420" s="85" t="s">
        <v>495</v>
      </c>
      <c r="B420" s="86">
        <v>58866</v>
      </c>
      <c r="C420" s="87">
        <v>287396</v>
      </c>
      <c r="D420" s="88"/>
      <c r="E420" s="69"/>
      <c r="F420" s="69"/>
      <c r="G420" s="69"/>
      <c r="H420" s="69"/>
      <c r="I420" s="78"/>
      <c r="J420" s="78"/>
      <c r="K420" s="78"/>
      <c r="L420" s="78"/>
      <c r="M420" s="78"/>
      <c r="N420" s="78"/>
      <c r="O420" s="78"/>
      <c r="P420" s="78"/>
      <c r="Q420" s="78"/>
      <c r="R420" s="78"/>
    </row>
    <row r="421" spans="1:18">
      <c r="A421" s="85" t="s">
        <v>496</v>
      </c>
      <c r="B421" s="86">
        <v>425014</v>
      </c>
      <c r="C421" s="87">
        <v>301148</v>
      </c>
      <c r="D421" s="88"/>
      <c r="E421" s="69"/>
      <c r="F421" s="69"/>
      <c r="G421" s="69"/>
      <c r="H421" s="69"/>
      <c r="I421" s="78"/>
      <c r="J421" s="78"/>
      <c r="K421" s="78"/>
      <c r="L421" s="78"/>
      <c r="M421" s="78"/>
      <c r="N421" s="78"/>
      <c r="O421" s="78"/>
      <c r="P421" s="78"/>
      <c r="Q421" s="78"/>
      <c r="R421" s="78"/>
    </row>
    <row r="422" spans="1:18">
      <c r="A422" s="85" t="s">
        <v>497</v>
      </c>
      <c r="B422" s="86">
        <v>7342337</v>
      </c>
      <c r="C422" s="87">
        <v>5256387</v>
      </c>
      <c r="D422" s="88"/>
      <c r="E422" s="69"/>
      <c r="F422" s="69"/>
      <c r="G422" s="69"/>
      <c r="H422" s="69"/>
      <c r="I422" s="78"/>
      <c r="J422" s="78"/>
      <c r="K422" s="78"/>
      <c r="L422" s="78"/>
      <c r="M422" s="78"/>
      <c r="N422" s="78"/>
      <c r="O422" s="78"/>
      <c r="P422" s="78"/>
      <c r="Q422" s="78"/>
      <c r="R422" s="78"/>
    </row>
    <row r="423" spans="1:18">
      <c r="A423" s="85" t="s">
        <v>498</v>
      </c>
      <c r="B423" s="86">
        <v>2654280</v>
      </c>
      <c r="C423" s="87">
        <v>1648790</v>
      </c>
      <c r="D423" s="88"/>
      <c r="E423" s="69"/>
      <c r="F423" s="69"/>
      <c r="G423" s="69"/>
      <c r="H423" s="69"/>
      <c r="I423" s="78"/>
      <c r="J423" s="78"/>
      <c r="K423" s="78"/>
      <c r="L423" s="78"/>
      <c r="M423" s="78"/>
      <c r="N423" s="78"/>
      <c r="O423" s="78"/>
      <c r="P423" s="78"/>
      <c r="Q423" s="78"/>
      <c r="R423" s="78"/>
    </row>
    <row r="424" spans="1:18">
      <c r="A424" s="85" t="s">
        <v>499</v>
      </c>
      <c r="B424" s="86">
        <v>87850</v>
      </c>
      <c r="C424" s="87">
        <v>70579</v>
      </c>
      <c r="D424" s="88"/>
      <c r="E424" s="69"/>
      <c r="F424" s="69"/>
      <c r="G424" s="69"/>
      <c r="H424" s="69"/>
      <c r="I424" s="78"/>
      <c r="J424" s="78"/>
      <c r="K424" s="78"/>
      <c r="L424" s="78"/>
      <c r="M424" s="78"/>
      <c r="N424" s="78"/>
      <c r="O424" s="78"/>
      <c r="P424" s="78"/>
      <c r="Q424" s="78"/>
      <c r="R424" s="78"/>
    </row>
    <row r="425" spans="1:18">
      <c r="A425" s="85" t="s">
        <v>500</v>
      </c>
      <c r="B425" s="89">
        <v>1408152</v>
      </c>
      <c r="C425" s="90">
        <v>832295</v>
      </c>
      <c r="D425" s="88"/>
      <c r="E425" s="69"/>
      <c r="F425" s="69"/>
      <c r="G425" s="69"/>
      <c r="H425" s="69"/>
      <c r="I425" s="78"/>
      <c r="J425" s="78"/>
      <c r="K425" s="78"/>
      <c r="L425" s="78"/>
      <c r="M425" s="78"/>
      <c r="N425" s="78"/>
      <c r="O425" s="78"/>
      <c r="P425" s="78"/>
      <c r="Q425" s="78"/>
      <c r="R425" s="78"/>
    </row>
    <row r="426" spans="1:18">
      <c r="A426" s="85"/>
      <c r="B426" s="88">
        <f>SUM(B400:B425)</f>
        <v>37097268</v>
      </c>
      <c r="C426" s="88">
        <f>SUM(C400:C425)</f>
        <v>24720124</v>
      </c>
      <c r="D426" s="88"/>
      <c r="E426" s="69"/>
      <c r="F426" s="69"/>
      <c r="G426" s="69"/>
      <c r="H426" s="69"/>
      <c r="I426" s="78"/>
      <c r="J426" s="78"/>
      <c r="K426" s="78"/>
      <c r="L426" s="78"/>
      <c r="M426" s="78"/>
      <c r="N426" s="78"/>
      <c r="O426" s="78"/>
      <c r="P426" s="78"/>
      <c r="Q426" s="78"/>
      <c r="R426" s="78"/>
    </row>
    <row r="427" ht="16.25" spans="1:18">
      <c r="A427" s="85"/>
      <c r="B427" s="91">
        <f>B379+B390+B398+B426</f>
        <v>97104258</v>
      </c>
      <c r="C427" s="91">
        <f>C379+C390+C398+C426</f>
        <v>70093696</v>
      </c>
      <c r="D427" s="88"/>
      <c r="E427" s="69"/>
      <c r="F427" s="69"/>
      <c r="G427" s="69"/>
      <c r="H427" s="69"/>
      <c r="I427" s="78"/>
      <c r="J427" s="78"/>
      <c r="K427" s="78"/>
      <c r="L427" s="78"/>
      <c r="M427" s="78"/>
      <c r="N427" s="78"/>
      <c r="O427" s="78"/>
      <c r="P427" s="78"/>
      <c r="Q427" s="78"/>
      <c r="R427" s="78"/>
    </row>
    <row r="428" ht="16.25" spans="1:18">
      <c r="A428" s="92" t="s">
        <v>501</v>
      </c>
      <c r="B428" s="88"/>
      <c r="C428" s="88"/>
      <c r="D428" s="88"/>
      <c r="E428" s="69"/>
      <c r="F428" s="69"/>
      <c r="G428" s="69"/>
      <c r="H428" s="69"/>
      <c r="I428" s="78"/>
      <c r="J428" s="78"/>
      <c r="K428" s="78"/>
      <c r="L428" s="78"/>
      <c r="M428" s="78"/>
      <c r="N428" s="78"/>
      <c r="O428" s="78"/>
      <c r="P428" s="78"/>
      <c r="Q428" s="78"/>
      <c r="R428" s="78"/>
    </row>
    <row r="429" spans="1:18">
      <c r="A429" s="92" t="s">
        <v>502</v>
      </c>
      <c r="B429" s="93">
        <v>2024</v>
      </c>
      <c r="C429" s="93">
        <v>2023</v>
      </c>
      <c r="D429" s="88"/>
      <c r="E429" s="69"/>
      <c r="F429" s="69"/>
      <c r="G429" s="69"/>
      <c r="H429" s="69"/>
      <c r="I429" s="78"/>
      <c r="J429" s="78"/>
      <c r="K429" s="78"/>
      <c r="L429" s="78"/>
      <c r="M429" s="78"/>
      <c r="N429" s="78"/>
      <c r="O429" s="78"/>
      <c r="P429" s="78"/>
      <c r="Q429" s="78"/>
      <c r="R429" s="78"/>
    </row>
    <row r="430" spans="1:18">
      <c r="A430" s="92"/>
      <c r="B430" s="94" t="s">
        <v>52</v>
      </c>
      <c r="C430" s="94"/>
      <c r="D430" s="95"/>
      <c r="E430" s="69"/>
      <c r="F430" s="69"/>
      <c r="G430" s="69"/>
      <c r="H430" s="69"/>
      <c r="I430" s="78"/>
      <c r="J430" s="78"/>
      <c r="K430" s="78"/>
      <c r="L430" s="78"/>
      <c r="M430" s="78"/>
      <c r="N430" s="78"/>
      <c r="O430" s="78"/>
      <c r="P430" s="78"/>
      <c r="Q430" s="78"/>
      <c r="R430" s="78"/>
    </row>
    <row r="431" spans="1:18">
      <c r="A431" s="85" t="s">
        <v>503</v>
      </c>
      <c r="B431" s="95">
        <v>43527</v>
      </c>
      <c r="C431" s="95">
        <v>240111</v>
      </c>
      <c r="D431" s="95"/>
      <c r="E431" s="69"/>
      <c r="F431" s="69"/>
      <c r="G431" s="69"/>
      <c r="H431" s="69"/>
      <c r="I431" s="78"/>
      <c r="J431" s="78"/>
      <c r="K431" s="78"/>
      <c r="L431" s="78"/>
      <c r="M431" s="78"/>
      <c r="N431" s="78"/>
      <c r="O431" s="78"/>
      <c r="P431" s="78"/>
      <c r="Q431" s="78"/>
      <c r="R431" s="78"/>
    </row>
    <row r="432" spans="1:18">
      <c r="A432" s="85" t="s">
        <v>504</v>
      </c>
      <c r="B432" s="95">
        <v>31743</v>
      </c>
      <c r="C432" s="95">
        <v>215</v>
      </c>
      <c r="D432" s="95"/>
      <c r="E432" s="69"/>
      <c r="F432" s="69"/>
      <c r="G432" s="69"/>
      <c r="H432" s="69"/>
      <c r="I432" s="78"/>
      <c r="J432" s="78"/>
      <c r="K432" s="78"/>
      <c r="L432" s="78"/>
      <c r="M432" s="78"/>
      <c r="N432" s="78"/>
      <c r="O432" s="78"/>
      <c r="P432" s="78"/>
      <c r="Q432" s="78"/>
      <c r="R432" s="78"/>
    </row>
    <row r="433" ht="16.25" spans="1:18">
      <c r="A433" s="85"/>
      <c r="B433" s="96">
        <f>B431+B432</f>
        <v>75270</v>
      </c>
      <c r="C433" s="96">
        <f>C431+C432</f>
        <v>240326</v>
      </c>
      <c r="D433" s="95"/>
      <c r="E433" s="69"/>
      <c r="F433" s="69"/>
      <c r="G433" s="69"/>
      <c r="H433" s="69"/>
      <c r="I433" s="78"/>
      <c r="J433" s="78"/>
      <c r="K433" s="78"/>
      <c r="L433" s="78"/>
      <c r="M433" s="78"/>
      <c r="N433" s="78"/>
      <c r="O433" s="78"/>
      <c r="P433" s="78"/>
      <c r="Q433" s="78"/>
      <c r="R433" s="78"/>
    </row>
    <row r="434" ht="16.25" spans="1:18">
      <c r="A434" s="92" t="s">
        <v>505</v>
      </c>
      <c r="B434" s="95"/>
      <c r="C434" s="95"/>
      <c r="D434" s="95"/>
      <c r="E434" s="69"/>
      <c r="F434" s="69"/>
      <c r="G434" s="69"/>
      <c r="H434" s="69"/>
      <c r="I434" s="78"/>
      <c r="J434" s="78"/>
      <c r="K434" s="78"/>
      <c r="L434" s="78"/>
      <c r="M434" s="78"/>
      <c r="N434" s="78"/>
      <c r="O434" s="78"/>
      <c r="P434" s="78"/>
      <c r="Q434" s="78"/>
      <c r="R434" s="78"/>
    </row>
    <row r="435" spans="1:18">
      <c r="A435" s="92" t="s">
        <v>506</v>
      </c>
      <c r="B435" s="93">
        <v>2024</v>
      </c>
      <c r="C435" s="93">
        <v>2023</v>
      </c>
      <c r="D435" s="95"/>
      <c r="E435" s="69"/>
      <c r="F435" s="69"/>
      <c r="G435" s="69"/>
      <c r="H435" s="69"/>
      <c r="I435" s="78"/>
      <c r="J435" s="78"/>
      <c r="K435" s="78"/>
      <c r="L435" s="78"/>
      <c r="M435" s="78"/>
      <c r="N435" s="78"/>
      <c r="O435" s="78"/>
      <c r="P435" s="78"/>
      <c r="Q435" s="78"/>
      <c r="R435" s="78"/>
    </row>
    <row r="436" spans="1:18">
      <c r="A436" s="85"/>
      <c r="B436" s="94" t="s">
        <v>52</v>
      </c>
      <c r="C436" s="94"/>
      <c r="D436" s="95"/>
      <c r="E436" s="69"/>
      <c r="F436" s="69"/>
      <c r="G436" s="69"/>
      <c r="H436" s="69"/>
      <c r="I436" s="78"/>
      <c r="J436" s="78"/>
      <c r="K436" s="78"/>
      <c r="L436" s="78"/>
      <c r="M436" s="78"/>
      <c r="N436" s="78"/>
      <c r="O436" s="78"/>
      <c r="P436" s="78"/>
      <c r="Q436" s="78"/>
      <c r="R436" s="78"/>
    </row>
    <row r="437" spans="1:18">
      <c r="A437" s="85" t="s">
        <v>507</v>
      </c>
      <c r="B437" s="95">
        <v>11253648</v>
      </c>
      <c r="C437" s="95">
        <v>-4893500</v>
      </c>
      <c r="D437" s="95"/>
      <c r="E437" s="69"/>
      <c r="F437" s="69"/>
      <c r="G437" s="69"/>
      <c r="H437" s="69"/>
      <c r="I437" s="78"/>
      <c r="J437" s="78"/>
      <c r="K437" s="78"/>
      <c r="L437" s="78"/>
      <c r="M437" s="78"/>
      <c r="N437" s="78"/>
      <c r="O437" s="78"/>
      <c r="P437" s="78"/>
      <c r="Q437" s="78"/>
      <c r="R437" s="78"/>
    </row>
    <row r="438" spans="1:18">
      <c r="A438" s="85" t="s">
        <v>508</v>
      </c>
      <c r="B438" s="97">
        <v>-249542</v>
      </c>
      <c r="C438" s="97">
        <v>6110045</v>
      </c>
      <c r="D438" s="97"/>
      <c r="E438" s="69"/>
      <c r="F438" s="69"/>
      <c r="G438" s="69"/>
      <c r="H438" s="69"/>
      <c r="I438" s="78"/>
      <c r="J438" s="78"/>
      <c r="K438" s="78"/>
      <c r="L438" s="78"/>
      <c r="M438" s="78"/>
      <c r="N438" s="78"/>
      <c r="O438" s="78"/>
      <c r="P438" s="78"/>
      <c r="Q438" s="78"/>
      <c r="R438" s="78"/>
    </row>
    <row r="439" spans="1:18">
      <c r="A439" s="85" t="s">
        <v>188</v>
      </c>
      <c r="B439" s="97">
        <v>54951</v>
      </c>
      <c r="C439" s="97">
        <v>149845</v>
      </c>
      <c r="D439" s="97"/>
      <c r="E439" s="69"/>
      <c r="F439" s="69"/>
      <c r="G439" s="69"/>
      <c r="H439" s="69"/>
      <c r="I439" s="78"/>
      <c r="J439" s="78"/>
      <c r="K439" s="78"/>
      <c r="L439" s="78"/>
      <c r="M439" s="78"/>
      <c r="N439" s="78"/>
      <c r="O439" s="78"/>
      <c r="P439" s="78"/>
      <c r="Q439" s="78"/>
      <c r="R439" s="78"/>
    </row>
    <row r="440" spans="1:18">
      <c r="A440" s="98" t="s">
        <v>509</v>
      </c>
      <c r="B440" s="97">
        <v>476252</v>
      </c>
      <c r="C440" s="97">
        <v>-29016</v>
      </c>
      <c r="D440" s="97"/>
      <c r="E440" s="69"/>
      <c r="F440" s="69"/>
      <c r="G440" s="69"/>
      <c r="H440" s="69"/>
      <c r="I440" s="78"/>
      <c r="J440" s="78"/>
      <c r="K440" s="78"/>
      <c r="L440" s="78"/>
      <c r="M440" s="78"/>
      <c r="N440" s="78"/>
      <c r="O440" s="78"/>
      <c r="P440" s="78"/>
      <c r="Q440" s="78"/>
      <c r="R440" s="78"/>
    </row>
    <row r="441" spans="1:18">
      <c r="A441" s="98" t="s">
        <v>510</v>
      </c>
      <c r="B441" s="97">
        <v>1303408</v>
      </c>
      <c r="C441" s="97">
        <v>-29304</v>
      </c>
      <c r="D441" s="97"/>
      <c r="E441" s="69"/>
      <c r="F441" s="69"/>
      <c r="G441" s="69"/>
      <c r="H441" s="69"/>
      <c r="I441" s="78"/>
      <c r="J441" s="78"/>
      <c r="K441" s="78"/>
      <c r="L441" s="78"/>
      <c r="M441" s="78"/>
      <c r="N441" s="78"/>
      <c r="O441" s="78"/>
      <c r="P441" s="78"/>
      <c r="Q441" s="78"/>
      <c r="R441" s="78"/>
    </row>
    <row r="442" spans="1:18">
      <c r="A442" s="98" t="s">
        <v>511</v>
      </c>
      <c r="B442" s="97">
        <v>-422754</v>
      </c>
      <c r="C442" s="97">
        <v>-477345</v>
      </c>
      <c r="D442" s="97"/>
      <c r="E442" s="69"/>
      <c r="F442" s="69"/>
      <c r="G442" s="69"/>
      <c r="H442" s="69"/>
      <c r="I442" s="78"/>
      <c r="J442" s="78"/>
      <c r="K442" s="78"/>
      <c r="L442" s="78"/>
      <c r="M442" s="78"/>
      <c r="N442" s="78"/>
      <c r="O442" s="78"/>
      <c r="P442" s="78"/>
      <c r="Q442" s="78"/>
      <c r="R442" s="78"/>
    </row>
    <row r="443" spans="1:18">
      <c r="A443" s="98" t="s">
        <v>512</v>
      </c>
      <c r="B443" s="97">
        <v>199497</v>
      </c>
      <c r="C443" s="99" t="s">
        <v>413</v>
      </c>
      <c r="D443" s="97"/>
      <c r="E443" s="69"/>
      <c r="F443" s="69"/>
      <c r="G443" s="69"/>
      <c r="H443" s="69"/>
      <c r="I443" s="78"/>
      <c r="J443" s="78"/>
      <c r="K443" s="78"/>
      <c r="L443" s="78"/>
      <c r="M443" s="78"/>
      <c r="N443" s="78"/>
      <c r="O443" s="78"/>
      <c r="P443" s="78"/>
      <c r="Q443" s="78"/>
      <c r="R443" s="78"/>
    </row>
    <row r="444" spans="1:18">
      <c r="A444" s="98" t="s">
        <v>191</v>
      </c>
      <c r="B444" s="97">
        <v>160014</v>
      </c>
      <c r="C444" s="97">
        <v>149432</v>
      </c>
      <c r="D444" s="97"/>
      <c r="E444" s="69"/>
      <c r="F444" s="69"/>
      <c r="G444" s="69"/>
      <c r="H444" s="69"/>
      <c r="I444" s="78"/>
      <c r="J444" s="78"/>
      <c r="K444" s="78"/>
      <c r="L444" s="78"/>
      <c r="M444" s="78"/>
      <c r="N444" s="78"/>
      <c r="O444" s="78"/>
      <c r="P444" s="78"/>
      <c r="Q444" s="78"/>
      <c r="R444" s="78"/>
    </row>
    <row r="445" ht="16.25" spans="1:18">
      <c r="A445" s="98"/>
      <c r="B445" s="100">
        <f>SUM(B437:B444)</f>
        <v>12775474</v>
      </c>
      <c r="C445" s="100">
        <f>SUM(C437:C444)</f>
        <v>980157</v>
      </c>
      <c r="D445" s="97"/>
      <c r="E445" s="69"/>
      <c r="F445" s="69"/>
      <c r="G445" s="69"/>
      <c r="H445" s="69"/>
      <c r="I445" s="78"/>
      <c r="J445" s="78"/>
      <c r="K445" s="78"/>
      <c r="L445" s="78"/>
      <c r="M445" s="78"/>
      <c r="N445" s="78"/>
      <c r="O445" s="78"/>
      <c r="P445" s="78"/>
      <c r="Q445" s="78"/>
      <c r="R445" s="78"/>
    </row>
    <row r="446" ht="16.25" spans="1:18">
      <c r="A446" s="101" t="s">
        <v>513</v>
      </c>
      <c r="B446" s="97"/>
      <c r="C446" s="97"/>
      <c r="D446" s="97"/>
      <c r="E446" s="69"/>
      <c r="F446" s="69"/>
      <c r="G446" s="69"/>
      <c r="H446" s="69"/>
      <c r="I446" s="78"/>
      <c r="J446" s="78"/>
      <c r="K446" s="78"/>
      <c r="L446" s="78"/>
      <c r="M446" s="78"/>
      <c r="N446" s="78"/>
      <c r="O446" s="78"/>
      <c r="P446" s="78"/>
      <c r="Q446" s="78"/>
      <c r="R446" s="78"/>
    </row>
    <row r="447" spans="1:18">
      <c r="A447" s="101" t="s">
        <v>514</v>
      </c>
      <c r="B447" s="93">
        <v>2024</v>
      </c>
      <c r="C447" s="93">
        <v>2023</v>
      </c>
      <c r="D447" s="97"/>
      <c r="E447" s="69"/>
      <c r="F447" s="69"/>
      <c r="G447" s="69"/>
      <c r="H447" s="69"/>
      <c r="I447" s="78"/>
      <c r="J447" s="78"/>
      <c r="K447" s="78"/>
      <c r="L447" s="78"/>
      <c r="M447" s="78"/>
      <c r="N447" s="78"/>
      <c r="O447" s="78"/>
      <c r="P447" s="78"/>
      <c r="Q447" s="78"/>
      <c r="R447" s="78"/>
    </row>
    <row r="448" spans="1:18">
      <c r="A448" s="101"/>
      <c r="B448" s="94" t="s">
        <v>52</v>
      </c>
      <c r="C448" s="94"/>
      <c r="D448" s="97"/>
      <c r="E448" s="69"/>
      <c r="F448" s="69"/>
      <c r="G448" s="69"/>
      <c r="H448" s="69"/>
      <c r="I448" s="78"/>
      <c r="J448" s="78"/>
      <c r="K448" s="78"/>
      <c r="L448" s="78"/>
      <c r="M448" s="78"/>
      <c r="N448" s="78"/>
      <c r="O448" s="78"/>
      <c r="P448" s="78"/>
      <c r="Q448" s="78"/>
      <c r="R448" s="78"/>
    </row>
    <row r="449" spans="1:18">
      <c r="A449" s="98" t="s">
        <v>515</v>
      </c>
      <c r="B449" s="97">
        <v>86082545</v>
      </c>
      <c r="C449" s="97">
        <v>53369638</v>
      </c>
      <c r="D449" s="97"/>
      <c r="E449" s="69"/>
      <c r="F449" s="69"/>
      <c r="G449" s="69"/>
      <c r="H449" s="69"/>
      <c r="I449" s="78"/>
      <c r="J449" s="78"/>
      <c r="K449" s="78"/>
      <c r="L449" s="78"/>
      <c r="M449" s="78"/>
      <c r="N449" s="78"/>
      <c r="O449" s="78"/>
      <c r="P449" s="78"/>
      <c r="Q449" s="78"/>
      <c r="R449" s="78"/>
    </row>
    <row r="450" spans="1:18">
      <c r="A450" s="98" t="s">
        <v>516</v>
      </c>
      <c r="B450" s="97">
        <v>-11632554</v>
      </c>
      <c r="C450" s="97">
        <v>2008969</v>
      </c>
      <c r="D450" s="97"/>
      <c r="E450" s="69"/>
      <c r="F450" s="69"/>
      <c r="G450" s="69"/>
      <c r="H450" s="69"/>
      <c r="I450" s="78"/>
      <c r="J450" s="78"/>
      <c r="K450" s="78"/>
      <c r="L450" s="78"/>
      <c r="M450" s="78"/>
      <c r="N450" s="78"/>
      <c r="O450" s="78"/>
      <c r="P450" s="78"/>
      <c r="Q450" s="78"/>
      <c r="R450" s="78"/>
    </row>
    <row r="451" spans="1:18">
      <c r="A451" s="98" t="s">
        <v>517</v>
      </c>
      <c r="B451" s="97">
        <v>-4251986</v>
      </c>
      <c r="C451" s="97">
        <v>-1264963</v>
      </c>
      <c r="D451" s="97"/>
      <c r="E451" s="69"/>
      <c r="F451" s="69"/>
      <c r="G451" s="69"/>
      <c r="H451" s="69"/>
      <c r="I451" s="78"/>
      <c r="J451" s="78"/>
      <c r="K451" s="78"/>
      <c r="L451" s="78"/>
      <c r="M451" s="78"/>
      <c r="N451" s="78"/>
      <c r="O451" s="78"/>
      <c r="P451" s="78"/>
      <c r="Q451" s="78"/>
      <c r="R451" s="78"/>
    </row>
    <row r="452" ht="16.25" spans="1:18">
      <c r="A452" s="98"/>
      <c r="B452" s="100">
        <f>SUM(B449:B451)</f>
        <v>70198005</v>
      </c>
      <c r="C452" s="100">
        <v>54113644</v>
      </c>
      <c r="D452" s="97"/>
      <c r="E452" s="69"/>
      <c r="F452" s="69"/>
      <c r="G452" s="69"/>
      <c r="H452" s="69"/>
      <c r="I452" s="78"/>
      <c r="J452" s="78"/>
      <c r="K452" s="78"/>
      <c r="L452" s="78"/>
      <c r="M452" s="78"/>
      <c r="N452" s="78"/>
      <c r="O452" s="78"/>
      <c r="P452" s="78"/>
      <c r="Q452" s="78"/>
      <c r="R452" s="78"/>
    </row>
    <row r="453" ht="16.25" spans="1:18">
      <c r="A453" s="101" t="s">
        <v>518</v>
      </c>
      <c r="B453" s="97"/>
      <c r="C453" s="97"/>
      <c r="D453" s="97"/>
      <c r="E453" s="69"/>
      <c r="F453" s="69"/>
      <c r="G453" s="69"/>
      <c r="H453" s="69"/>
      <c r="I453" s="78"/>
      <c r="J453" s="78"/>
      <c r="K453" s="78"/>
      <c r="L453" s="78"/>
      <c r="M453" s="78"/>
      <c r="N453" s="78"/>
      <c r="O453" s="78"/>
      <c r="P453" s="78"/>
      <c r="Q453" s="78"/>
      <c r="R453" s="78"/>
    </row>
    <row r="454" ht="16.25" spans="1:18">
      <c r="A454" s="101" t="s">
        <v>519</v>
      </c>
      <c r="B454" s="93">
        <v>2024</v>
      </c>
      <c r="C454" s="93">
        <v>2023</v>
      </c>
      <c r="D454" s="97"/>
      <c r="E454" s="69"/>
      <c r="F454" s="69"/>
      <c r="G454" s="69"/>
      <c r="H454" s="69"/>
      <c r="I454" s="78"/>
      <c r="J454" s="78"/>
      <c r="K454" s="78"/>
      <c r="L454" s="78"/>
      <c r="M454" s="78"/>
      <c r="N454" s="78"/>
      <c r="O454" s="78"/>
      <c r="P454" s="78"/>
      <c r="Q454" s="78"/>
      <c r="R454" s="78"/>
    </row>
    <row r="455" ht="16.25" spans="1:18">
      <c r="A455" s="102"/>
      <c r="B455" s="94" t="s">
        <v>52</v>
      </c>
      <c r="C455" s="94"/>
      <c r="D455" s="97"/>
      <c r="E455" s="69"/>
      <c r="F455" s="69"/>
      <c r="G455" s="69"/>
      <c r="H455" s="69"/>
      <c r="I455" s="78"/>
      <c r="J455" s="78"/>
      <c r="K455" s="78"/>
      <c r="L455" s="78"/>
      <c r="M455" s="78"/>
      <c r="N455" s="78"/>
      <c r="O455" s="78"/>
      <c r="P455" s="78"/>
      <c r="Q455" s="78"/>
      <c r="R455" s="78"/>
    </row>
    <row r="456" ht="16.25" spans="1:18">
      <c r="A456" s="103" t="s">
        <v>27</v>
      </c>
      <c r="B456" s="104">
        <v>310836376</v>
      </c>
      <c r="C456" s="97">
        <v>277355760</v>
      </c>
      <c r="D456" s="97"/>
      <c r="E456" s="69"/>
      <c r="F456" s="69"/>
      <c r="G456" s="69"/>
      <c r="H456" s="69"/>
      <c r="I456" s="78"/>
      <c r="J456" s="78"/>
      <c r="K456" s="78"/>
      <c r="L456" s="78"/>
      <c r="M456" s="78"/>
      <c r="N456" s="78"/>
      <c r="O456" s="78"/>
      <c r="P456" s="78"/>
      <c r="Q456" s="78"/>
      <c r="R456" s="78"/>
    </row>
    <row r="457" ht="16.25" spans="1:18">
      <c r="A457" s="103" t="s">
        <v>28</v>
      </c>
      <c r="B457" s="104">
        <v>59968246</v>
      </c>
      <c r="C457" s="97">
        <v>33430371</v>
      </c>
      <c r="D457" s="97"/>
      <c r="E457" s="69"/>
      <c r="F457" s="69"/>
      <c r="G457" s="69"/>
      <c r="H457" s="69"/>
      <c r="I457" s="78"/>
      <c r="J457" s="78"/>
      <c r="K457" s="78"/>
      <c r="L457" s="78"/>
      <c r="M457" s="78"/>
      <c r="N457" s="78"/>
      <c r="O457" s="78"/>
      <c r="P457" s="78"/>
      <c r="Q457" s="78"/>
      <c r="R457" s="78"/>
    </row>
    <row r="458" ht="16.25" spans="1:18">
      <c r="A458" s="105"/>
      <c r="B458" s="106">
        <f>SUM(B456:B457)</f>
        <v>370804622</v>
      </c>
      <c r="C458" s="107">
        <f>SUM(C456:C457)</f>
        <v>310786131</v>
      </c>
      <c r="D458" s="97"/>
      <c r="E458" s="69"/>
      <c r="F458" s="69"/>
      <c r="G458" s="69"/>
      <c r="H458" s="69"/>
      <c r="I458" s="78"/>
      <c r="J458" s="78"/>
      <c r="K458" s="78"/>
      <c r="L458" s="78"/>
      <c r="M458" s="78"/>
      <c r="N458" s="78"/>
      <c r="O458" s="78"/>
      <c r="P458" s="78"/>
      <c r="Q458" s="78"/>
      <c r="R458" s="78"/>
    </row>
    <row r="459" spans="1:18">
      <c r="A459" s="98"/>
      <c r="B459" s="97"/>
      <c r="C459" s="97"/>
      <c r="D459" s="97"/>
      <c r="E459" s="69"/>
      <c r="F459" s="69"/>
      <c r="G459" s="69"/>
      <c r="H459" s="69"/>
      <c r="I459" s="78"/>
      <c r="J459" s="78"/>
      <c r="K459" s="78"/>
      <c r="L459" s="78"/>
      <c r="M459" s="78"/>
      <c r="N459" s="78"/>
      <c r="O459" s="78"/>
      <c r="P459" s="78"/>
      <c r="Q459" s="78"/>
      <c r="R459" s="78"/>
    </row>
    <row r="460" spans="1:18">
      <c r="A460" s="98"/>
      <c r="B460" s="69"/>
      <c r="C460" s="69"/>
      <c r="D460" s="69"/>
      <c r="E460" s="69"/>
      <c r="F460" s="69"/>
      <c r="G460" s="69"/>
      <c r="H460" s="69"/>
      <c r="I460" s="78"/>
      <c r="J460" s="78"/>
      <c r="K460" s="78"/>
      <c r="L460" s="78"/>
      <c r="M460" s="78"/>
      <c r="N460" s="78"/>
      <c r="O460" s="78"/>
      <c r="P460" s="78"/>
      <c r="Q460" s="78"/>
      <c r="R460" s="78"/>
    </row>
    <row r="461" spans="1:18">
      <c r="A461" s="98"/>
      <c r="B461" s="69"/>
      <c r="C461" s="69"/>
      <c r="D461" s="69"/>
      <c r="E461" s="69"/>
      <c r="F461" s="69"/>
      <c r="G461" s="69"/>
      <c r="H461" s="69"/>
      <c r="I461" s="78"/>
      <c r="J461" s="78"/>
      <c r="K461" s="78"/>
      <c r="L461" s="78"/>
      <c r="M461" s="78"/>
      <c r="N461" s="78"/>
      <c r="O461" s="78"/>
      <c r="P461" s="78"/>
      <c r="Q461" s="78"/>
      <c r="R461" s="78"/>
    </row>
    <row r="462" spans="1:18">
      <c r="A462" s="98"/>
      <c r="B462" s="69"/>
      <c r="C462" s="69"/>
      <c r="D462" s="69"/>
      <c r="E462" s="69"/>
      <c r="F462" s="69"/>
      <c r="G462" s="69"/>
      <c r="H462" s="69"/>
      <c r="I462" s="78"/>
      <c r="J462" s="78"/>
      <c r="K462" s="78"/>
      <c r="L462" s="78"/>
      <c r="M462" s="78"/>
      <c r="N462" s="78"/>
      <c r="O462" s="78"/>
      <c r="P462" s="78"/>
      <c r="Q462" s="78"/>
      <c r="R462" s="78"/>
    </row>
    <row r="463" spans="1:18">
      <c r="A463" s="98"/>
      <c r="B463" s="69"/>
      <c r="C463" s="69"/>
      <c r="D463" s="69"/>
      <c r="E463" s="69"/>
      <c r="F463" s="69"/>
      <c r="G463" s="69"/>
      <c r="H463" s="69"/>
      <c r="I463" s="78"/>
      <c r="J463" s="78"/>
      <c r="K463" s="78"/>
      <c r="L463" s="78"/>
      <c r="M463" s="78"/>
      <c r="N463" s="78"/>
      <c r="O463" s="78"/>
      <c r="P463" s="78"/>
      <c r="Q463" s="78"/>
      <c r="R463" s="78"/>
    </row>
    <row r="464" spans="1:18">
      <c r="A464" s="98"/>
      <c r="B464" s="69"/>
      <c r="C464" s="69"/>
      <c r="D464" s="69"/>
      <c r="E464" s="69"/>
      <c r="F464" s="69"/>
      <c r="G464" s="69"/>
      <c r="H464" s="69"/>
      <c r="I464" s="78"/>
      <c r="J464" s="78"/>
      <c r="K464" s="78"/>
      <c r="L464" s="78"/>
      <c r="M464" s="78"/>
      <c r="N464" s="78"/>
      <c r="O464" s="78"/>
      <c r="P464" s="78"/>
      <c r="Q464" s="78"/>
      <c r="R464" s="78"/>
    </row>
    <row r="465" spans="1:18">
      <c r="A465" s="98"/>
      <c r="B465" s="69"/>
      <c r="C465" s="69"/>
      <c r="D465" s="69"/>
      <c r="E465" s="69"/>
      <c r="F465" s="69"/>
      <c r="G465" s="69"/>
      <c r="H465" s="69"/>
      <c r="I465" s="78"/>
      <c r="J465" s="78"/>
      <c r="K465" s="78"/>
      <c r="L465" s="78"/>
      <c r="M465" s="78"/>
      <c r="N465" s="78"/>
      <c r="O465" s="78"/>
      <c r="P465" s="78"/>
      <c r="Q465" s="78"/>
      <c r="R465" s="78"/>
    </row>
    <row r="466" spans="1:18">
      <c r="A466" s="98"/>
      <c r="B466" s="69"/>
      <c r="C466" s="69"/>
      <c r="D466" s="69"/>
      <c r="E466" s="69"/>
      <c r="F466" s="69"/>
      <c r="G466" s="69"/>
      <c r="H466" s="69"/>
      <c r="I466" s="78"/>
      <c r="J466" s="78"/>
      <c r="K466" s="78"/>
      <c r="L466" s="78"/>
      <c r="M466" s="78"/>
      <c r="N466" s="78"/>
      <c r="O466" s="78"/>
      <c r="P466" s="78"/>
      <c r="Q466" s="78"/>
      <c r="R466" s="78"/>
    </row>
    <row r="467" spans="1:18">
      <c r="A467" s="98"/>
      <c r="B467" s="69"/>
      <c r="C467" s="69"/>
      <c r="D467" s="69"/>
      <c r="E467" s="69"/>
      <c r="F467" s="69"/>
      <c r="G467" s="69"/>
      <c r="H467" s="69"/>
      <c r="I467" s="78"/>
      <c r="J467" s="78"/>
      <c r="K467" s="78"/>
      <c r="L467" s="78"/>
      <c r="M467" s="78"/>
      <c r="N467" s="78"/>
      <c r="O467" s="78"/>
      <c r="P467" s="78"/>
      <c r="Q467" s="78"/>
      <c r="R467" s="78"/>
    </row>
    <row r="468" spans="1:18">
      <c r="A468" s="98"/>
      <c r="B468" s="69"/>
      <c r="C468" s="69"/>
      <c r="D468" s="69"/>
      <c r="E468" s="69"/>
      <c r="F468" s="69"/>
      <c r="G468" s="69"/>
      <c r="H468" s="69"/>
      <c r="I468" s="78"/>
      <c r="J468" s="78"/>
      <c r="K468" s="78"/>
      <c r="L468" s="78"/>
      <c r="M468" s="78"/>
      <c r="N468" s="78"/>
      <c r="O468" s="78"/>
      <c r="P468" s="78"/>
      <c r="Q468" s="78"/>
      <c r="R468" s="78"/>
    </row>
    <row r="469" spans="1:18">
      <c r="A469" s="98"/>
      <c r="B469" s="69"/>
      <c r="C469" s="69"/>
      <c r="D469" s="69"/>
      <c r="E469" s="69"/>
      <c r="F469" s="69"/>
      <c r="G469" s="69"/>
      <c r="H469" s="69"/>
      <c r="I469" s="78"/>
      <c r="J469" s="78"/>
      <c r="K469" s="78"/>
      <c r="L469" s="78"/>
      <c r="M469" s="78"/>
      <c r="N469" s="78"/>
      <c r="O469" s="78"/>
      <c r="P469" s="78"/>
      <c r="Q469" s="78"/>
      <c r="R469" s="78"/>
    </row>
    <row r="470" spans="1:18">
      <c r="A470" s="98"/>
      <c r="B470" s="69"/>
      <c r="C470" s="69"/>
      <c r="D470" s="69"/>
      <c r="E470" s="69"/>
      <c r="F470" s="69"/>
      <c r="G470" s="69"/>
      <c r="H470" s="69"/>
      <c r="I470" s="78"/>
      <c r="J470" s="78"/>
      <c r="K470" s="78"/>
      <c r="L470" s="78"/>
      <c r="M470" s="78"/>
      <c r="N470" s="78"/>
      <c r="O470" s="78"/>
      <c r="P470" s="78"/>
      <c r="Q470" s="78"/>
      <c r="R470" s="78"/>
    </row>
    <row r="471" spans="1:18">
      <c r="A471" s="98"/>
      <c r="B471" s="69"/>
      <c r="C471" s="69"/>
      <c r="D471" s="69"/>
      <c r="E471" s="69"/>
      <c r="F471" s="69"/>
      <c r="G471" s="69"/>
      <c r="H471" s="69"/>
      <c r="I471" s="78"/>
      <c r="J471" s="78"/>
      <c r="K471" s="78"/>
      <c r="L471" s="78"/>
      <c r="M471" s="78"/>
      <c r="N471" s="78"/>
      <c r="O471" s="78"/>
      <c r="P471" s="78"/>
      <c r="Q471" s="78"/>
      <c r="R471" s="78"/>
    </row>
    <row r="472" spans="1:18">
      <c r="A472" s="98"/>
      <c r="B472" s="69"/>
      <c r="C472" s="69"/>
      <c r="D472" s="69"/>
      <c r="E472" s="69"/>
      <c r="F472" s="69"/>
      <c r="G472" s="69"/>
      <c r="H472" s="69"/>
      <c r="I472" s="78"/>
      <c r="J472" s="78"/>
      <c r="K472" s="78"/>
      <c r="L472" s="78"/>
      <c r="M472" s="78"/>
      <c r="N472" s="78"/>
      <c r="O472" s="78"/>
      <c r="P472" s="78"/>
      <c r="Q472" s="78"/>
      <c r="R472" s="78"/>
    </row>
    <row r="473" spans="1:18">
      <c r="A473" s="98"/>
      <c r="B473" s="69"/>
      <c r="C473" s="69"/>
      <c r="D473" s="69"/>
      <c r="E473" s="69"/>
      <c r="F473" s="69"/>
      <c r="G473" s="69"/>
      <c r="H473" s="69"/>
      <c r="I473" s="78"/>
      <c r="J473" s="78"/>
      <c r="K473" s="78"/>
      <c r="L473" s="78"/>
      <c r="M473" s="78"/>
      <c r="N473" s="78"/>
      <c r="O473" s="78"/>
      <c r="P473" s="78"/>
      <c r="Q473" s="78"/>
      <c r="R473" s="78"/>
    </row>
    <row r="474" spans="1:18">
      <c r="A474" s="98"/>
      <c r="B474" s="69"/>
      <c r="C474" s="69"/>
    </row>
  </sheetData>
  <mergeCells count="46">
    <mergeCell ref="B4:C4"/>
    <mergeCell ref="B30:C30"/>
    <mergeCell ref="B46:C46"/>
    <mergeCell ref="B58:D58"/>
    <mergeCell ref="B59:C59"/>
    <mergeCell ref="B75:D75"/>
    <mergeCell ref="B94:C94"/>
    <mergeCell ref="B101:D101"/>
    <mergeCell ref="E101:G101"/>
    <mergeCell ref="B102:G102"/>
    <mergeCell ref="B119:C119"/>
    <mergeCell ref="B127:F127"/>
    <mergeCell ref="B132:F132"/>
    <mergeCell ref="B155:C155"/>
    <mergeCell ref="B181:C181"/>
    <mergeCell ref="B188:C188"/>
    <mergeCell ref="B210:D210"/>
    <mergeCell ref="E210:G210"/>
    <mergeCell ref="B228:C228"/>
    <mergeCell ref="B240:C240"/>
    <mergeCell ref="D266:E266"/>
    <mergeCell ref="B267:C267"/>
    <mergeCell ref="F267:G267"/>
    <mergeCell ref="D270:E270"/>
    <mergeCell ref="B271:C271"/>
    <mergeCell ref="F271:G271"/>
    <mergeCell ref="B276:D276"/>
    <mergeCell ref="B278:D278"/>
    <mergeCell ref="B294:D294"/>
    <mergeCell ref="B296:D296"/>
    <mergeCell ref="B313:E313"/>
    <mergeCell ref="B324:C324"/>
    <mergeCell ref="B333:C333"/>
    <mergeCell ref="B344:C344"/>
    <mergeCell ref="B363:C363"/>
    <mergeCell ref="B369:C369"/>
    <mergeCell ref="B378:C378"/>
    <mergeCell ref="B430:C430"/>
    <mergeCell ref="B436:C436"/>
    <mergeCell ref="B448:C448"/>
    <mergeCell ref="B455:C455"/>
    <mergeCell ref="B128:B131"/>
    <mergeCell ref="C128:C131"/>
    <mergeCell ref="D128:D131"/>
    <mergeCell ref="E128:E131"/>
    <mergeCell ref="F128:F131"/>
  </mergeCells>
  <pageMargins left="0.75" right="0.75" top="1" bottom="1" header="0.5" footer="0.5"/>
  <headerFooter/>
  <ignoredErrors>
    <ignoredError sqref="A370:IR376 A364:IR368 A345:IR362 A316:IR332 C315:IR315 A315 A314:IR314 A334 D334:IR334 A335:IR343 A2:IR23 A24:B24 D24:IR24 A25:IR100 A101:D101 G101:IR101 A102:IR186 A187:A188 D187:IR188 A189:IR209 A210 C210:IR210 A211:IR273 B274:IR276 A277:IR312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" master="" otherUserPermission="visible"/>
  <rangeList sheetStid="8" master="" otherUserPermission="visible"/>
  <rangeList sheetStid="2" master="" otherUserPermission="visible"/>
  <rangeList sheetStid="6" master="" otherUserPermission="visible"/>
  <rangeList sheetStid="5" master="" otherUserPermission="visible"/>
  <rangeList sheetStid="3" master="" otherUserPermission="visible"/>
  <rangeList sheetStid="9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Dashboard </vt:lpstr>
      <vt:lpstr>Statement of Financial Position</vt:lpstr>
      <vt:lpstr>Profit and Loss Statement</vt:lpstr>
      <vt:lpstr> Comprehensive Income</vt:lpstr>
      <vt:lpstr>Statement of Changes in Equity</vt:lpstr>
      <vt:lpstr>Cash Flow Statement</vt:lpstr>
      <vt:lpstr>Working Capital Statement</vt:lpstr>
      <vt:lpstr>Notes to  Financial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2026-03-03T15:15:00Z</dcterms:created>
  <dcterms:modified xsi:type="dcterms:W3CDTF">2026-04-01T18:11:13Z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077ED1BEBBB6457E8C66CA520D87567A_12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